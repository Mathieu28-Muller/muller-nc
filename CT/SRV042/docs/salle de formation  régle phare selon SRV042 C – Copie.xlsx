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 codeName="ThisWorkbook" defaultThemeVersion="124226"/>
  <xr:revisionPtr revIDLastSave="213" documentId="13_ncr:1_{EF08E9B4-4D01-43F2-A664-FA173BED72C6}" xr6:coauthVersionLast="47" xr6:coauthVersionMax="47" xr10:uidLastSave="{451744E6-4A11-4573-BE18-D0A4F5AE4BB3}"/>
  <bookViews>
    <workbookView xWindow="-22140" yWindow="408" windowWidth="21600" windowHeight="12648" tabRatio="875" activeTab="3" xr2:uid="{00000000-000D-0000-FFFF-FFFF00000000}"/>
  </bookViews>
  <sheets>
    <sheet name="Zone RPH 1" sheetId="2" r:id="rId1"/>
    <sheet name="Zone RPH 2" sheetId="9" r:id="rId2"/>
    <sheet name="Validation RPH bi-piste" sheetId="10" r:id="rId3"/>
    <sheet name="Zone VL 1" sheetId="3" r:id="rId4"/>
    <sheet name="Zone VL 2" sheetId="5" r:id="rId5"/>
    <sheet name="Validation zone VL bi-piste" sheetId="8" r:id="rId6"/>
    <sheet name="Zone PL 1" sheetId="4" r:id="rId7"/>
    <sheet name="Zone PL 2" sheetId="6" r:id="rId8"/>
    <sheet name="Validation zone PL bi-piste" sheetId="7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2" l="1"/>
  <c r="L5" i="9"/>
  <c r="L5" i="3"/>
  <c r="L5" i="5"/>
  <c r="L5" i="6"/>
  <c r="K4" i="9"/>
  <c r="B4" i="9"/>
  <c r="L5" i="4"/>
  <c r="O16" i="6"/>
  <c r="N16" i="6"/>
  <c r="O15" i="6"/>
  <c r="N15" i="6"/>
  <c r="O14" i="6"/>
  <c r="N14" i="6"/>
  <c r="O13" i="6"/>
  <c r="N13" i="6"/>
  <c r="O12" i="6"/>
  <c r="N12" i="6"/>
  <c r="O11" i="6"/>
  <c r="N11" i="6"/>
  <c r="O10" i="6"/>
  <c r="N10" i="6"/>
  <c r="O9" i="6"/>
  <c r="N9" i="6"/>
  <c r="O10" i="4"/>
  <c r="O11" i="4"/>
  <c r="O12" i="4"/>
  <c r="O13" i="4"/>
  <c r="O14" i="4"/>
  <c r="O15" i="4"/>
  <c r="O16" i="4"/>
  <c r="O9" i="4"/>
  <c r="N10" i="4"/>
  <c r="N11" i="4"/>
  <c r="N12" i="4"/>
  <c r="N13" i="4"/>
  <c r="N14" i="4"/>
  <c r="N15" i="4"/>
  <c r="N16" i="4"/>
  <c r="N9" i="4"/>
  <c r="K19" i="6" l="1"/>
  <c r="K19" i="4"/>
  <c r="G15" i="9" l="1"/>
  <c r="H3" i="7" l="1"/>
  <c r="H4" i="8"/>
  <c r="H3" i="10"/>
  <c r="D5" i="10" l="1"/>
  <c r="B5" i="10"/>
  <c r="B4" i="10"/>
  <c r="B3" i="10"/>
  <c r="D5" i="9"/>
  <c r="B5" i="9"/>
  <c r="B3" i="9"/>
  <c r="C16" i="9" l="1"/>
  <c r="C15" i="9"/>
  <c r="O9" i="9"/>
  <c r="N9" i="9"/>
  <c r="G9" i="9"/>
  <c r="F9" i="9"/>
  <c r="P9" i="9" l="1"/>
  <c r="H9" i="9"/>
  <c r="F15" i="9"/>
  <c r="D8" i="10" s="1"/>
  <c r="D6" i="8" l="1"/>
  <c r="B6" i="8"/>
  <c r="B5" i="8"/>
  <c r="B4" i="8"/>
  <c r="D5" i="7" l="1"/>
  <c r="B5" i="7"/>
  <c r="B4" i="7"/>
  <c r="B3" i="7"/>
  <c r="I19" i="6"/>
  <c r="C19" i="6"/>
  <c r="I18" i="6"/>
  <c r="C18" i="6"/>
  <c r="J13" i="6" l="1"/>
  <c r="D11" i="6"/>
  <c r="J10" i="6"/>
  <c r="F18" i="6"/>
  <c r="D8" i="7" s="1"/>
  <c r="J14" i="6"/>
  <c r="J9" i="6"/>
  <c r="J16" i="6"/>
  <c r="J12" i="6"/>
  <c r="D15" i="6"/>
  <c r="J11" i="6"/>
  <c r="J15" i="6"/>
  <c r="D16" i="6"/>
  <c r="D14" i="6"/>
  <c r="D13" i="6"/>
  <c r="D9" i="6"/>
  <c r="D12" i="6"/>
  <c r="D10" i="6"/>
  <c r="L9" i="6" l="1"/>
  <c r="L11" i="6"/>
  <c r="F11" i="6"/>
  <c r="F9" i="6"/>
  <c r="I16" i="5"/>
  <c r="C16" i="5"/>
  <c r="I15" i="5"/>
  <c r="C15" i="5"/>
  <c r="K18" i="6" l="1"/>
  <c r="J13" i="5"/>
  <c r="J12" i="5"/>
  <c r="J10" i="5"/>
  <c r="F15" i="5"/>
  <c r="D9" i="8" s="1"/>
  <c r="D13" i="5"/>
  <c r="D12" i="5"/>
  <c r="D11" i="5"/>
  <c r="D9" i="5"/>
  <c r="F9" i="5" s="1"/>
  <c r="J11" i="5"/>
  <c r="J9" i="5"/>
  <c r="L9" i="5" s="1"/>
  <c r="D10" i="5"/>
  <c r="C18" i="4"/>
  <c r="L13" i="5" l="1"/>
  <c r="K15" i="5" s="1"/>
  <c r="F13" i="5"/>
  <c r="O9" i="2"/>
  <c r="N9" i="2"/>
  <c r="G9" i="2"/>
  <c r="F9" i="2"/>
  <c r="O9" i="5" l="1"/>
  <c r="N9" i="5"/>
  <c r="O10" i="5"/>
  <c r="N13" i="5"/>
  <c r="O11" i="5"/>
  <c r="N10" i="5"/>
  <c r="O12" i="5"/>
  <c r="N11" i="5"/>
  <c r="O13" i="5"/>
  <c r="N12" i="5"/>
  <c r="H9" i="2"/>
  <c r="P9" i="2"/>
  <c r="C16" i="2"/>
  <c r="C15" i="2"/>
  <c r="I16" i="3"/>
  <c r="C16" i="3"/>
  <c r="I15" i="3"/>
  <c r="C15" i="3"/>
  <c r="C19" i="4"/>
  <c r="I19" i="4"/>
  <c r="K16" i="5" l="1"/>
  <c r="D13" i="3"/>
  <c r="F13" i="3" s="1"/>
  <c r="D10" i="3"/>
  <c r="D11" i="3"/>
  <c r="D9" i="3"/>
  <c r="D12" i="3"/>
  <c r="D10" i="4"/>
  <c r="D16" i="4"/>
  <c r="D15" i="4"/>
  <c r="J13" i="3"/>
  <c r="L13" i="3" s="1"/>
  <c r="F15" i="3"/>
  <c r="D8" i="8" s="1"/>
  <c r="D13" i="8" s="1"/>
  <c r="D14" i="8" s="1"/>
  <c r="J11" i="3"/>
  <c r="J12" i="3"/>
  <c r="J10" i="3"/>
  <c r="J9" i="3"/>
  <c r="D14" i="4"/>
  <c r="D12" i="4"/>
  <c r="D13" i="4"/>
  <c r="D9" i="4"/>
  <c r="D11" i="4"/>
  <c r="F15" i="2"/>
  <c r="D7" i="10" s="1"/>
  <c r="D10" i="10" s="1"/>
  <c r="D11" i="10" s="1"/>
  <c r="G15" i="2" l="1"/>
  <c r="F9" i="4"/>
  <c r="F11" i="4"/>
  <c r="L9" i="3"/>
  <c r="F9" i="3"/>
  <c r="D11" i="8"/>
  <c r="I18" i="4"/>
  <c r="J16" i="4" s="1"/>
  <c r="K15" i="3" l="1"/>
  <c r="J12" i="4"/>
  <c r="J9" i="4"/>
  <c r="J13" i="4"/>
  <c r="J10" i="4"/>
  <c r="J14" i="4"/>
  <c r="J11" i="4"/>
  <c r="J15" i="4"/>
  <c r="F18" i="4"/>
  <c r="D7" i="7" s="1"/>
  <c r="O10" i="3" l="1"/>
  <c r="O9" i="3"/>
  <c r="N13" i="3"/>
  <c r="O11" i="3"/>
  <c r="N10" i="3"/>
  <c r="N9" i="3"/>
  <c r="N12" i="3"/>
  <c r="O12" i="3"/>
  <c r="N11" i="3"/>
  <c r="O13" i="3"/>
  <c r="D12" i="7"/>
  <c r="D13" i="7" s="1"/>
  <c r="D10" i="7"/>
  <c r="L9" i="4"/>
  <c r="L11" i="4"/>
  <c r="K16" i="3" l="1"/>
  <c r="K18" i="4"/>
</calcChain>
</file>

<file path=xl/sharedStrings.xml><?xml version="1.0" encoding="utf-8"?>
<sst xmlns="http://schemas.openxmlformats.org/spreadsheetml/2006/main" count="275" uniqueCount="79">
  <si>
    <t>Feuille de calcul - Contrôle de la planéité de la zone règle-phares selon SR/V/042 - C</t>
  </si>
  <si>
    <t>Nom du centre:</t>
  </si>
  <si>
    <t>N° de piste:</t>
  </si>
  <si>
    <t>Adresse:</t>
  </si>
  <si>
    <t>N° de série:</t>
  </si>
  <si>
    <t>Code postal:</t>
  </si>
  <si>
    <t>Ville:</t>
  </si>
  <si>
    <t xml:space="preserve">Date du contrôle : </t>
  </si>
  <si>
    <t>ZONE DE ROULAGE GAUCHE</t>
  </si>
  <si>
    <t>ZONE DE ROULAGE DROITE</t>
  </si>
  <si>
    <t>Position</t>
  </si>
  <si>
    <t>Inclinaison gauche (%)</t>
  </si>
  <si>
    <t>Inclinaison centre (%)</t>
  </si>
  <si>
    <t>Inclinaison droite (%)</t>
  </si>
  <si>
    <t>Tolérance
(%)</t>
  </si>
  <si>
    <t>Déviation mini (%)</t>
  </si>
  <si>
    <t>Déviation maxi (%)</t>
  </si>
  <si>
    <t>Erreur maxi (%)</t>
  </si>
  <si>
    <t>0,19*%</t>
  </si>
  <si>
    <t>Dans le cas d'installation avec rails, remplir uniquement la position 1.</t>
  </si>
  <si>
    <t>ZONE DE DEPLACEMENT REGLE-PHARES</t>
  </si>
  <si>
    <t>Sanction zone</t>
  </si>
  <si>
    <t xml:space="preserve">Déviation mini </t>
  </si>
  <si>
    <t>Erreur de planéité maxi zone de roulage</t>
  </si>
  <si>
    <t xml:space="preserve">Déviation maxi </t>
  </si>
  <si>
    <t xml:space="preserve">Cas avec rails sans inclinomètre : </t>
  </si>
  <si>
    <t>Cas sans rails sans inclinomètre :</t>
  </si>
  <si>
    <t>Feuille de calcul - Contrôle de la planéité de la zone règle-phares selon SR/V/042 -C</t>
  </si>
  <si>
    <t>Feuille de validation de la zone règle-phares bi-piste selon SR/V/042 - C</t>
  </si>
  <si>
    <t>Erreur de planéité maxi zone de roulage 1:</t>
  </si>
  <si>
    <t>Erreur de planéité maxi zone de roulage 2:</t>
  </si>
  <si>
    <t>Différence erreur zone 1 et 2:</t>
  </si>
  <si>
    <t>Ecart maxi = +/- 0,10%</t>
  </si>
  <si>
    <t>Sanction</t>
  </si>
  <si>
    <t>Feuille de calcul de la pente moyenne zone véhicule VL selon SR/V/042 - C</t>
  </si>
  <si>
    <t>Muller</t>
  </si>
  <si>
    <t>8 Rue Réaumur</t>
  </si>
  <si>
    <t>xxxx</t>
  </si>
  <si>
    <t>Chartres</t>
  </si>
  <si>
    <t>BANDE DE ROULEMENT GAUCHE</t>
  </si>
  <si>
    <t>BANDE DE ROULEMENT DROITE</t>
  </si>
  <si>
    <t>Point de référence</t>
  </si>
  <si>
    <t>Distance
(mm)</t>
  </si>
  <si>
    <t>Hauteur
(mm)</t>
  </si>
  <si>
    <t>Erreur
(mm)</t>
  </si>
  <si>
    <t>Tolérance
(mm)</t>
  </si>
  <si>
    <t>Ecart maxi (mm)</t>
  </si>
  <si>
    <t>AVG1</t>
  </si>
  <si>
    <t>AVD1</t>
  </si>
  <si>
    <t>ARG1</t>
  </si>
  <si>
    <t>ARD1</t>
  </si>
  <si>
    <t>ARG2</t>
  </si>
  <si>
    <t>ARD2</t>
  </si>
  <si>
    <t>ARG3</t>
  </si>
  <si>
    <t>ARD3</t>
  </si>
  <si>
    <t>ARG4</t>
  </si>
  <si>
    <t>ARD4</t>
  </si>
  <si>
    <t>Pente Gauche</t>
  </si>
  <si>
    <t>Pente moyenne de la zone véhicule</t>
  </si>
  <si>
    <t>Pente Droite</t>
  </si>
  <si>
    <t>Origine gauche</t>
  </si>
  <si>
    <t>Origine droite</t>
  </si>
  <si>
    <t>TSM</t>
  </si>
  <si>
    <t>ZA lde Novillers les Cailloux</t>
  </si>
  <si>
    <t>SAINTE GENEVIEVE</t>
  </si>
  <si>
    <t>Feuille de validation de la pente moyenne de la zone véhicule VL bi-piste selon SR/V/042 - C</t>
  </si>
  <si>
    <t>Pente moyenne de la zone véhicule 1:</t>
  </si>
  <si>
    <t>Pente moyenne de la zone véhicule 2:</t>
  </si>
  <si>
    <t>Pente moyenne de la double zone :</t>
  </si>
  <si>
    <t>Différence pente zone 1 et 2:</t>
  </si>
  <si>
    <t>Feuille de calcul de la pente moyenne zone véhicule PL selon SR/V/042 - C</t>
  </si>
  <si>
    <t>AVG2</t>
  </si>
  <si>
    <t>AVD2</t>
  </si>
  <si>
    <t>ARG5</t>
  </si>
  <si>
    <t>ARD5</t>
  </si>
  <si>
    <t>ARG6</t>
  </si>
  <si>
    <t>ARD6</t>
  </si>
  <si>
    <t>Feuille de validation de la pente moyenne de la zone véhicule PL bi-piste selon SR/V/042 - C</t>
  </si>
  <si>
    <t>Pente moyenne de la double piste: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</si>
</sst>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%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6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0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0" xfId="0" applyFont="1"/>
    <xf numFmtId="0" fontId="2" fillId="0" borderId="7" xfId="0" applyFont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0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0" xfId="0" applyFont="1" applyAlignment="1">
      <alignment horizontal="left"/>
    </xf>
    <xf numFmtId="0" fontId="6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9" xfId="0" applyFont="1" applyBorder="1" applyAlignment="1">
      <alignment horizontal="center"/>
    </xf>
    <xf numFmtId="0" fontId="5" fillId="0" borderId="9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wrapText="1"/>
    </xf>
    <xf numFmtId="0" fontId="8" fillId="5" borderId="1" xfId="0" applyFont="1" applyFill="1" applyBorder="1" applyAlignment="1">
      <alignment horizontal="center" wrapText="1"/>
    </xf>
    <xf numFmtId="0" fontId="7" fillId="5" borderId="1" xfId="0" applyFont="1" applyFill="1" applyBorder="1" applyAlignment="1">
      <alignment horizontal="center" wrapText="1"/>
    </xf>
    <xf numFmtId="0" fontId="7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165" fontId="5" fillId="4" borderId="1" xfId="0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165" fontId="9" fillId="5" borderId="1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0" xfId="0" applyNumberFormat="1" applyFont="1" applyAlignment="1">
      <alignment horizontal="center"/>
    </xf>
    <xf numFmtId="10" fontId="5" fillId="4" borderId="1" xfId="0" applyNumberFormat="1" applyFont="1" applyFill="1" applyBorder="1" applyAlignment="1">
      <alignment horizontal="center"/>
    </xf>
    <xf numFmtId="10" fontId="5" fillId="5" borderId="1" xfId="0" applyNumberFormat="1" applyFont="1" applyFill="1" applyBorder="1" applyAlignment="1">
      <alignment horizontal="center"/>
    </xf>
    <xf numFmtId="0" fontId="5" fillId="0" borderId="0" xfId="0" applyFont="1"/>
    <xf numFmtId="2" fontId="5" fillId="4" borderId="1" xfId="0" applyNumberFormat="1" applyFont="1" applyFill="1" applyBorder="1" applyAlignment="1">
      <alignment horizontal="center"/>
    </xf>
    <xf numFmtId="2" fontId="5" fillId="5" borderId="1" xfId="0" applyNumberFormat="1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top" wrapText="1"/>
    </xf>
    <xf numFmtId="0" fontId="8" fillId="5" borderId="1" xfId="0" applyFont="1" applyFill="1" applyBorder="1" applyAlignment="1">
      <alignment horizontal="center" vertical="top" wrapText="1"/>
    </xf>
    <xf numFmtId="0" fontId="7" fillId="5" borderId="1" xfId="0" applyFont="1" applyFill="1" applyBorder="1" applyAlignment="1">
      <alignment horizontal="center" vertical="top" wrapText="1"/>
    </xf>
    <xf numFmtId="165" fontId="7" fillId="4" borderId="1" xfId="0" applyNumberFormat="1" applyFont="1" applyFill="1" applyBorder="1" applyAlignment="1">
      <alignment horizontal="center" vertical="center"/>
    </xf>
    <xf numFmtId="165" fontId="7" fillId="5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10" fontId="5" fillId="0" borderId="1" xfId="0" applyNumberFormat="1" applyFont="1" applyBorder="1" applyAlignment="1" applyProtection="1">
      <alignment horizontal="center"/>
      <protection locked="0"/>
    </xf>
    <xf numFmtId="0" fontId="7" fillId="0" borderId="7" xfId="0" applyFont="1" applyBorder="1" applyAlignment="1">
      <alignment horizontal="left"/>
    </xf>
    <xf numFmtId="10" fontId="5" fillId="0" borderId="0" xfId="0" applyNumberFormat="1" applyFont="1" applyAlignment="1">
      <alignment horizontal="center"/>
    </xf>
    <xf numFmtId="10" fontId="5" fillId="0" borderId="0" xfId="0" applyNumberFormat="1" applyFont="1" applyAlignment="1">
      <alignment horizontal="center" vertical="center"/>
    </xf>
    <xf numFmtId="10" fontId="7" fillId="0" borderId="0" xfId="0" applyNumberFormat="1" applyFont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/>
    </xf>
    <xf numFmtId="10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left"/>
      <protection locked="0"/>
    </xf>
    <xf numFmtId="1" fontId="9" fillId="0" borderId="1" xfId="0" applyNumberFormat="1" applyFont="1" applyBorder="1" applyAlignment="1" applyProtection="1">
      <alignment horizontal="center"/>
      <protection locked="0"/>
    </xf>
    <xf numFmtId="1" fontId="5" fillId="0" borderId="1" xfId="0" applyNumberFormat="1" applyFont="1" applyBorder="1" applyAlignment="1" applyProtection="1">
      <alignment horizontal="center"/>
      <protection locked="0"/>
    </xf>
    <xf numFmtId="0" fontId="7" fillId="3" borderId="1" xfId="0" applyFont="1" applyFill="1" applyBorder="1"/>
    <xf numFmtId="0" fontId="10" fillId="0" borderId="0" xfId="0" applyFont="1" applyAlignment="1">
      <alignment vertical="center"/>
    </xf>
    <xf numFmtId="10" fontId="2" fillId="0" borderId="0" xfId="0" applyNumberFormat="1" applyFont="1"/>
    <xf numFmtId="10" fontId="5" fillId="0" borderId="0" xfId="0" applyNumberFormat="1" applyFont="1"/>
    <xf numFmtId="166" fontId="2" fillId="0" borderId="1" xfId="0" applyNumberFormat="1" applyFont="1" applyBorder="1" applyAlignment="1">
      <alignment horizontal="center"/>
    </xf>
    <xf numFmtId="166" fontId="5" fillId="0" borderId="1" xfId="0" applyNumberFormat="1" applyFont="1" applyBorder="1" applyAlignment="1">
      <alignment horizontal="center"/>
    </xf>
    <xf numFmtId="0" fontId="5" fillId="0" borderId="0" xfId="0" applyFont="1" applyAlignment="1" applyProtection="1">
      <alignment horizontal="left" vertical="center"/>
      <protection locked="0"/>
    </xf>
    <xf numFmtId="0" fontId="7" fillId="4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13" fillId="0" borderId="0" xfId="0" applyFont="1"/>
    <xf numFmtId="0" fontId="0" fillId="0" borderId="1" xfId="0" applyBorder="1"/>
    <xf numFmtId="0" fontId="2" fillId="0" borderId="1" xfId="0" applyFont="1" applyBorder="1"/>
    <xf numFmtId="14" fontId="5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10" fontId="7" fillId="4" borderId="4" xfId="1" applyNumberFormat="1" applyFont="1" applyFill="1" applyBorder="1" applyAlignment="1" applyProtection="1">
      <alignment horizontal="center" vertical="center"/>
    </xf>
    <xf numFmtId="10" fontId="7" fillId="4" borderId="6" xfId="1" applyNumberFormat="1" applyFont="1" applyFill="1" applyBorder="1" applyAlignment="1" applyProtection="1">
      <alignment horizontal="center" vertical="center"/>
    </xf>
    <xf numFmtId="10" fontId="7" fillId="4" borderId="2" xfId="1" applyNumberFormat="1" applyFont="1" applyFill="1" applyBorder="1" applyAlignment="1" applyProtection="1">
      <alignment horizontal="center" vertical="center"/>
    </xf>
    <xf numFmtId="10" fontId="7" fillId="5" borderId="1" xfId="0" applyNumberFormat="1" applyFont="1" applyFill="1" applyBorder="1" applyAlignment="1">
      <alignment horizontal="center" vertical="center"/>
    </xf>
    <xf numFmtId="10" fontId="7" fillId="4" borderId="4" xfId="0" applyNumberFormat="1" applyFont="1" applyFill="1" applyBorder="1" applyAlignment="1">
      <alignment horizontal="center" vertical="center"/>
    </xf>
    <xf numFmtId="10" fontId="7" fillId="4" borderId="6" xfId="0" applyNumberFormat="1" applyFont="1" applyFill="1" applyBorder="1" applyAlignment="1">
      <alignment horizontal="center" vertical="center"/>
    </xf>
    <xf numFmtId="10" fontId="7" fillId="4" borderId="2" xfId="0" applyNumberFormat="1" applyFont="1" applyFill="1" applyBorder="1" applyAlignment="1">
      <alignment horizontal="center" vertical="center"/>
    </xf>
    <xf numFmtId="10" fontId="7" fillId="5" borderId="4" xfId="0" applyNumberFormat="1" applyFont="1" applyFill="1" applyBorder="1" applyAlignment="1">
      <alignment horizontal="center" vertical="center"/>
    </xf>
    <xf numFmtId="10" fontId="7" fillId="5" borderId="6" xfId="0" applyNumberFormat="1" applyFont="1" applyFill="1" applyBorder="1" applyAlignment="1">
      <alignment horizontal="center" vertical="center"/>
    </xf>
    <xf numFmtId="10" fontId="7" fillId="5" borderId="2" xfId="0" applyNumberFormat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5" fillId="0" borderId="0" xfId="0" applyFont="1" applyAlignment="1" applyProtection="1">
      <alignment horizontal="left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10" fontId="7" fillId="2" borderId="1" xfId="1" applyNumberFormat="1" applyFont="1" applyFill="1" applyBorder="1" applyAlignment="1" applyProtection="1">
      <alignment horizontal="center" vertical="center"/>
    </xf>
    <xf numFmtId="10" fontId="5" fillId="5" borderId="4" xfId="0" applyNumberFormat="1" applyFont="1" applyFill="1" applyBorder="1" applyAlignment="1">
      <alignment horizontal="center" vertical="center"/>
    </xf>
    <xf numFmtId="10" fontId="5" fillId="5" borderId="6" xfId="0" applyNumberFormat="1" applyFont="1" applyFill="1" applyBorder="1" applyAlignment="1">
      <alignment horizontal="center" vertical="center"/>
    </xf>
    <xf numFmtId="10" fontId="5" fillId="5" borderId="2" xfId="0" applyNumberFormat="1" applyFont="1" applyFill="1" applyBorder="1" applyAlignment="1">
      <alignment horizontal="center" vertical="center"/>
    </xf>
    <xf numFmtId="10" fontId="5" fillId="4" borderId="4" xfId="0" applyNumberFormat="1" applyFont="1" applyFill="1" applyBorder="1" applyAlignment="1">
      <alignment horizontal="center" vertical="center"/>
    </xf>
    <xf numFmtId="10" fontId="5" fillId="4" borderId="6" xfId="0" applyNumberFormat="1" applyFont="1" applyFill="1" applyBorder="1" applyAlignment="1">
      <alignment horizontal="center" vertical="center"/>
    </xf>
    <xf numFmtId="10" fontId="5" fillId="4" borderId="2" xfId="0" applyNumberFormat="1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7" fillId="6" borderId="8" xfId="0" applyFont="1" applyFill="1" applyBorder="1" applyAlignment="1">
      <alignment horizontal="left"/>
    </xf>
    <xf numFmtId="0" fontId="7" fillId="6" borderId="5" xfId="0" applyFont="1" applyFill="1" applyBorder="1" applyAlignment="1">
      <alignment horizontal="left"/>
    </xf>
    <xf numFmtId="0" fontId="7" fillId="6" borderId="3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left"/>
    </xf>
    <xf numFmtId="0" fontId="11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7" fillId="0" borderId="1" xfId="0" applyFont="1" applyBorder="1" applyAlignment="1">
      <alignment horizontal="left"/>
    </xf>
    <xf numFmtId="0" fontId="7" fillId="3" borderId="1" xfId="0" applyFont="1" applyFill="1" applyBorder="1" applyAlignment="1">
      <alignment horizontal="center" vertical="center" wrapText="1"/>
    </xf>
    <xf numFmtId="10" fontId="7" fillId="3" borderId="1" xfId="0" applyNumberFormat="1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7" fillId="5" borderId="5" xfId="0" applyFont="1" applyFill="1" applyBorder="1" applyAlignment="1">
      <alignment horizontal="center"/>
    </xf>
    <xf numFmtId="165" fontId="7" fillId="4" borderId="4" xfId="0" applyNumberFormat="1" applyFont="1" applyFill="1" applyBorder="1" applyAlignment="1">
      <alignment horizontal="center" vertical="center"/>
    </xf>
    <xf numFmtId="165" fontId="7" fillId="4" borderId="6" xfId="0" applyNumberFormat="1" applyFont="1" applyFill="1" applyBorder="1" applyAlignment="1">
      <alignment horizontal="center" vertical="center"/>
    </xf>
    <xf numFmtId="165" fontId="7" fillId="4" borderId="2" xfId="0" applyNumberFormat="1" applyFont="1" applyFill="1" applyBorder="1" applyAlignment="1">
      <alignment horizontal="center" vertical="center"/>
    </xf>
    <xf numFmtId="165" fontId="7" fillId="5" borderId="1" xfId="0" applyNumberFormat="1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7" fillId="4" borderId="8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7" fillId="0" borderId="8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7" fillId="7" borderId="8" xfId="0" applyFont="1" applyFill="1" applyBorder="1" applyAlignment="1">
      <alignment horizontal="left"/>
    </xf>
    <xf numFmtId="0" fontId="7" fillId="7" borderId="5" xfId="0" applyFont="1" applyFill="1" applyBorder="1" applyAlignment="1">
      <alignment horizontal="left"/>
    </xf>
    <xf numFmtId="0" fontId="7" fillId="7" borderId="3" xfId="0" applyFont="1" applyFill="1" applyBorder="1" applyAlignment="1">
      <alignment horizontal="left"/>
    </xf>
    <xf numFmtId="0" fontId="12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5" fontId="7" fillId="4" borderId="1" xfId="0" applyNumberFormat="1" applyFont="1" applyFill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165" fontId="5" fillId="5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top"/>
    </xf>
    <xf numFmtId="0" fontId="8" fillId="5" borderId="1" xfId="0" applyFont="1" applyFill="1" applyBorder="1" applyAlignment="1">
      <alignment horizontal="center" vertical="top"/>
    </xf>
    <xf numFmtId="0" fontId="7" fillId="7" borderId="1" xfId="0" applyFont="1" applyFill="1" applyBorder="1" applyAlignment="1">
      <alignment horizontal="left"/>
    </xf>
    <xf numFmtId="0" fontId="7" fillId="0" borderId="1" xfId="0" applyFont="1" applyBorder="1" applyAlignment="1">
      <alignment horizontal="center" vertical="center" wrapText="1"/>
    </xf>
  </cellXfs>
  <cellStyles count="2">
    <cellStyle name="Normal" xfId="0" builtinId="0"/>
    <cellStyle name="Pourcentage" xfId="1" builtinId="5"/>
  </cellStyles>
  <dxfs count="14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3234636992689959E-2"/>
          <c:y val="6.1366806136680614E-2"/>
          <c:w val="0.87235764950868744"/>
          <c:h val="0.80921468498446059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trendline>
            <c:spPr>
              <a:ln w="3175" cap="rnd">
                <a:solidFill>
                  <a:schemeClr val="accent6">
                    <a:lumMod val="75000"/>
                  </a:schemeClr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4.4574801895036688E-2"/>
                  <c:y val="-0.59217096863831609"/>
                </c:manualLayout>
              </c:layout>
              <c:numFmt formatCode="General" sourceLinked="0"/>
              <c:spPr>
                <a:noFill/>
                <a:ln>
                  <a:solidFill>
                    <a:schemeClr val="accent6">
                      <a:lumMod val="75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'Zone VL 1'!$B$9:$B$13</c:f>
              <c:numCache>
                <c:formatCode>General</c:formatCode>
                <c:ptCount val="5"/>
                <c:pt idx="0">
                  <c:v>1200</c:v>
                </c:pt>
                <c:pt idx="1">
                  <c:v>3200</c:v>
                </c:pt>
                <c:pt idx="2">
                  <c:v>3800</c:v>
                </c:pt>
                <c:pt idx="3">
                  <c:v>4200</c:v>
                </c:pt>
                <c:pt idx="4">
                  <c:v>5700</c:v>
                </c:pt>
              </c:numCache>
            </c:numRef>
          </c:xVal>
          <c:yVal>
            <c:numRef>
              <c:f>'Zone VL 1'!$C$9:$C$13</c:f>
              <c:numCache>
                <c:formatCode>0</c:formatCode>
                <c:ptCount val="5"/>
                <c:pt idx="0">
                  <c:v>620</c:v>
                </c:pt>
                <c:pt idx="1">
                  <c:v>615</c:v>
                </c:pt>
                <c:pt idx="2">
                  <c:v>608</c:v>
                </c:pt>
                <c:pt idx="3">
                  <c:v>601</c:v>
                </c:pt>
                <c:pt idx="4">
                  <c:v>605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ECB-4363-B0F5-4BDA3E9A3B7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3175" cap="rnd">
                <a:solidFill>
                  <a:schemeClr val="accent3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0229462723132088"/>
                  <c:y val="-0.25088624773712453"/>
                </c:manualLayout>
              </c:layout>
              <c:numFmt formatCode="General" sourceLinked="0"/>
              <c:spPr>
                <a:noFill/>
                <a:ln>
                  <a:solidFill>
                    <a:schemeClr val="accent3">
                      <a:lumMod val="75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'Zone VL 1'!$B$9:$B$13</c:f>
              <c:numCache>
                <c:formatCode>General</c:formatCode>
                <c:ptCount val="5"/>
                <c:pt idx="0">
                  <c:v>1200</c:v>
                </c:pt>
                <c:pt idx="1">
                  <c:v>3200</c:v>
                </c:pt>
                <c:pt idx="2">
                  <c:v>3800</c:v>
                </c:pt>
                <c:pt idx="3">
                  <c:v>4200</c:v>
                </c:pt>
                <c:pt idx="4">
                  <c:v>5700</c:v>
                </c:pt>
              </c:numCache>
            </c:numRef>
          </c:xVal>
          <c:yVal>
            <c:numRef>
              <c:f>'Zone VL 1'!$I$9:$I$13</c:f>
              <c:numCache>
                <c:formatCode>0</c:formatCode>
                <c:ptCount val="5"/>
                <c:pt idx="0">
                  <c:v>640</c:v>
                </c:pt>
                <c:pt idx="1">
                  <c:v>630</c:v>
                </c:pt>
                <c:pt idx="2">
                  <c:v>625</c:v>
                </c:pt>
                <c:pt idx="3">
                  <c:v>625</c:v>
                </c:pt>
                <c:pt idx="4">
                  <c:v>620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ECB-4363-B0F5-4BDA3E9A3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3128784"/>
        <c:axId val="534804704"/>
      </c:scatterChart>
      <c:valAx>
        <c:axId val="583128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804704"/>
        <c:crosses val="autoZero"/>
        <c:crossBetween val="midCat"/>
      </c:valAx>
      <c:valAx>
        <c:axId val="53480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128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3234636992689959E-2"/>
          <c:y val="6.1366806136680614E-2"/>
          <c:w val="0.87235764950868744"/>
          <c:h val="0.80921468498446059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trendline>
            <c:spPr>
              <a:ln w="3175" cap="rnd">
                <a:solidFill>
                  <a:schemeClr val="accent6">
                    <a:lumMod val="75000"/>
                  </a:schemeClr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138217699534472"/>
                  <c:y val="-0.1166071339993094"/>
                </c:manualLayout>
              </c:layout>
              <c:numFmt formatCode="General" sourceLinked="0"/>
              <c:spPr>
                <a:noFill/>
                <a:ln>
                  <a:solidFill>
                    <a:schemeClr val="accent6">
                      <a:lumMod val="75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'Zone VL 2'!$B$9:$B$13</c:f>
              <c:numCache>
                <c:formatCode>General</c:formatCode>
                <c:ptCount val="5"/>
                <c:pt idx="0">
                  <c:v>1200</c:v>
                </c:pt>
                <c:pt idx="1">
                  <c:v>3200</c:v>
                </c:pt>
                <c:pt idx="2">
                  <c:v>3800</c:v>
                </c:pt>
                <c:pt idx="3">
                  <c:v>4200</c:v>
                </c:pt>
                <c:pt idx="4">
                  <c:v>5700</c:v>
                </c:pt>
              </c:numCache>
            </c:numRef>
          </c:xVal>
          <c:yVal>
            <c:numRef>
              <c:f>'Zone VL 2'!$C$9:$C$13</c:f>
              <c:numCache>
                <c:formatCode>0</c:formatCode>
                <c:ptCount val="5"/>
                <c:pt idx="0">
                  <c:v>719</c:v>
                </c:pt>
                <c:pt idx="1">
                  <c:v>710</c:v>
                </c:pt>
                <c:pt idx="2">
                  <c:v>711</c:v>
                </c:pt>
                <c:pt idx="3">
                  <c:v>711</c:v>
                </c:pt>
                <c:pt idx="4">
                  <c:v>713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BC-4285-82D6-7AF0CC41442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3175" cap="rnd">
                <a:solidFill>
                  <a:schemeClr val="accent3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5.4016916765968703E-2"/>
                  <c:y val="-0.43497101544895594"/>
                </c:manualLayout>
              </c:layout>
              <c:numFmt formatCode="General" sourceLinked="0"/>
              <c:spPr>
                <a:noFill/>
                <a:ln>
                  <a:solidFill>
                    <a:schemeClr val="accent3">
                      <a:lumMod val="75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'Zone VL 2'!$B$9:$B$13</c:f>
              <c:numCache>
                <c:formatCode>General</c:formatCode>
                <c:ptCount val="5"/>
                <c:pt idx="0">
                  <c:v>1200</c:v>
                </c:pt>
                <c:pt idx="1">
                  <c:v>3200</c:v>
                </c:pt>
                <c:pt idx="2">
                  <c:v>3800</c:v>
                </c:pt>
                <c:pt idx="3">
                  <c:v>4200</c:v>
                </c:pt>
                <c:pt idx="4">
                  <c:v>5700</c:v>
                </c:pt>
              </c:numCache>
            </c:numRef>
          </c:xVal>
          <c:yVal>
            <c:numRef>
              <c:f>'Zone VL 2'!$I$9:$I$13</c:f>
              <c:numCache>
                <c:formatCode>0</c:formatCode>
                <c:ptCount val="5"/>
                <c:pt idx="0">
                  <c:v>718</c:v>
                </c:pt>
                <c:pt idx="1">
                  <c:v>716</c:v>
                </c:pt>
                <c:pt idx="2">
                  <c:v>713</c:v>
                </c:pt>
                <c:pt idx="3">
                  <c:v>710</c:v>
                </c:pt>
                <c:pt idx="4">
                  <c:v>716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0BC-4285-82D6-7AF0CC4144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4805488"/>
        <c:axId val="534805880"/>
      </c:scatterChart>
      <c:valAx>
        <c:axId val="534805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805880"/>
        <c:crosses val="autoZero"/>
        <c:crossBetween val="midCat"/>
      </c:valAx>
      <c:valAx>
        <c:axId val="534805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805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Gauche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trendline>
            <c:spPr>
              <a:ln w="3175" cap="rnd">
                <a:solidFill>
                  <a:schemeClr val="accent6">
                    <a:lumMod val="75000"/>
                  </a:schemeClr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0800503062117235"/>
                  <c:y val="-0.35610017497812774"/>
                </c:manualLayout>
              </c:layout>
              <c:numFmt formatCode="General" sourceLinked="0"/>
              <c:spPr>
                <a:noFill/>
                <a:ln>
                  <a:solidFill>
                    <a:schemeClr val="accent6">
                      <a:lumMod val="75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'Zone PL 1'!$B$9:$B$16</c:f>
              <c:numCache>
                <c:formatCode>General</c:formatCode>
                <c:ptCount val="8"/>
                <c:pt idx="0">
                  <c:v>1800</c:v>
                </c:pt>
                <c:pt idx="1">
                  <c:v>2600</c:v>
                </c:pt>
                <c:pt idx="2">
                  <c:v>5000</c:v>
                </c:pt>
                <c:pt idx="3">
                  <c:v>6000</c:v>
                </c:pt>
                <c:pt idx="4">
                  <c:v>7000</c:v>
                </c:pt>
                <c:pt idx="5">
                  <c:v>8000</c:v>
                </c:pt>
                <c:pt idx="6">
                  <c:v>9000</c:v>
                </c:pt>
                <c:pt idx="7">
                  <c:v>10000</c:v>
                </c:pt>
              </c:numCache>
            </c:numRef>
          </c:xVal>
          <c:yVal>
            <c:numRef>
              <c:f>'Zone PL 1'!$C$9:$C$16</c:f>
              <c:numCache>
                <c:formatCode>0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06-4C91-A1AD-AB5601722309}"/>
            </c:ext>
          </c:extLst>
        </c:ser>
        <c:ser>
          <c:idx val="1"/>
          <c:order val="1"/>
          <c:tx>
            <c:v>Droite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5000"/>
                </a:schemeClr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3175" cap="rnd">
                <a:solidFill>
                  <a:schemeClr val="accent3">
                    <a:lumMod val="75000"/>
                  </a:schemeClr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40866163604549433"/>
                  <c:y val="-4.4845800524934386E-2"/>
                </c:manualLayout>
              </c:layout>
              <c:numFmt formatCode="General" sourceLinked="0"/>
              <c:spPr>
                <a:noFill/>
                <a:ln>
                  <a:solidFill>
                    <a:schemeClr val="accent3">
                      <a:lumMod val="75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'Zone PL 1'!$B$9:$B$16</c:f>
              <c:numCache>
                <c:formatCode>General</c:formatCode>
                <c:ptCount val="8"/>
                <c:pt idx="0">
                  <c:v>1800</c:v>
                </c:pt>
                <c:pt idx="1">
                  <c:v>2600</c:v>
                </c:pt>
                <c:pt idx="2">
                  <c:v>5000</c:v>
                </c:pt>
                <c:pt idx="3">
                  <c:v>6000</c:v>
                </c:pt>
                <c:pt idx="4">
                  <c:v>7000</c:v>
                </c:pt>
                <c:pt idx="5">
                  <c:v>8000</c:v>
                </c:pt>
                <c:pt idx="6">
                  <c:v>9000</c:v>
                </c:pt>
                <c:pt idx="7">
                  <c:v>10000</c:v>
                </c:pt>
              </c:numCache>
            </c:numRef>
          </c:xVal>
          <c:yVal>
            <c:numRef>
              <c:f>'Zone PL 1'!$I$9:$I$16</c:f>
              <c:numCache>
                <c:formatCode>0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B06-4C91-A1AD-AB56017223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2242520"/>
        <c:axId val="592242912"/>
      </c:scatterChart>
      <c:valAx>
        <c:axId val="592242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242912"/>
        <c:crosses val="autoZero"/>
        <c:crossBetween val="midCat"/>
      </c:valAx>
      <c:valAx>
        <c:axId val="59224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242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Gauche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trendline>
            <c:spPr>
              <a:ln w="3175" cap="rnd">
                <a:solidFill>
                  <a:schemeClr val="accent6">
                    <a:lumMod val="75000"/>
                  </a:schemeClr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0800503062117235"/>
                  <c:y val="-0.35610017497812774"/>
                </c:manualLayout>
              </c:layout>
              <c:numFmt formatCode="General" sourceLinked="0"/>
              <c:spPr>
                <a:noFill/>
                <a:ln>
                  <a:solidFill>
                    <a:schemeClr val="accent6">
                      <a:lumMod val="75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'Zone PL 2'!$B$9:$B$16</c:f>
              <c:numCache>
                <c:formatCode>General</c:formatCode>
                <c:ptCount val="8"/>
                <c:pt idx="0">
                  <c:v>1800</c:v>
                </c:pt>
                <c:pt idx="1">
                  <c:v>2600</c:v>
                </c:pt>
                <c:pt idx="2">
                  <c:v>5000</c:v>
                </c:pt>
                <c:pt idx="3">
                  <c:v>6000</c:v>
                </c:pt>
                <c:pt idx="4">
                  <c:v>7000</c:v>
                </c:pt>
                <c:pt idx="5">
                  <c:v>8000</c:v>
                </c:pt>
                <c:pt idx="6">
                  <c:v>9000</c:v>
                </c:pt>
                <c:pt idx="7">
                  <c:v>10000</c:v>
                </c:pt>
              </c:numCache>
            </c:numRef>
          </c:xVal>
          <c:yVal>
            <c:numRef>
              <c:f>'Zone PL 2'!$C$9:$C$16</c:f>
              <c:numCache>
                <c:formatCode>0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B8-45D0-B2E2-0D943AC3F7B9}"/>
            </c:ext>
          </c:extLst>
        </c:ser>
        <c:ser>
          <c:idx val="1"/>
          <c:order val="1"/>
          <c:tx>
            <c:v>Droite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5000"/>
                </a:schemeClr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3175" cap="rnd">
                <a:solidFill>
                  <a:schemeClr val="accent3">
                    <a:lumMod val="75000"/>
                  </a:schemeClr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40866163604549433"/>
                  <c:y val="-4.4845800524934386E-2"/>
                </c:manualLayout>
              </c:layout>
              <c:numFmt formatCode="General" sourceLinked="0"/>
              <c:spPr>
                <a:noFill/>
                <a:ln>
                  <a:solidFill>
                    <a:schemeClr val="accent3">
                      <a:lumMod val="75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'Zone PL 2'!$B$9:$B$16</c:f>
              <c:numCache>
                <c:formatCode>General</c:formatCode>
                <c:ptCount val="8"/>
                <c:pt idx="0">
                  <c:v>1800</c:v>
                </c:pt>
                <c:pt idx="1">
                  <c:v>2600</c:v>
                </c:pt>
                <c:pt idx="2">
                  <c:v>5000</c:v>
                </c:pt>
                <c:pt idx="3">
                  <c:v>6000</c:v>
                </c:pt>
                <c:pt idx="4">
                  <c:v>7000</c:v>
                </c:pt>
                <c:pt idx="5">
                  <c:v>8000</c:v>
                </c:pt>
                <c:pt idx="6">
                  <c:v>9000</c:v>
                </c:pt>
                <c:pt idx="7">
                  <c:v>10000</c:v>
                </c:pt>
              </c:numCache>
            </c:numRef>
          </c:xVal>
          <c:yVal>
            <c:numRef>
              <c:f>'Zone PL 2'!$I$9:$I$16</c:f>
              <c:numCache>
                <c:formatCode>0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9B8-45D0-B2E2-0D943AC3F7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2244088"/>
        <c:axId val="532850312"/>
      </c:scatterChart>
      <c:valAx>
        <c:axId val="592244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850312"/>
        <c:crosses val="autoZero"/>
        <c:crossBetween val="midCat"/>
      </c:valAx>
      <c:valAx>
        <c:axId val="532850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244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4.jpg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4.jpg"/><Relationship Id="rId1" Type="http://schemas.openxmlformats.org/officeDocument/2006/relationships/chart" Target="../charts/chart2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5.jpg"/><Relationship Id="rId1" Type="http://schemas.openxmlformats.org/officeDocument/2006/relationships/chart" Target="../charts/chart3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5.jpg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493636</xdr:colOff>
      <xdr:row>18</xdr:row>
      <xdr:rowOff>76200</xdr:rowOff>
    </xdr:from>
    <xdr:to>
      <xdr:col>15</xdr:col>
      <xdr:colOff>704851</xdr:colOff>
      <xdr:row>35</xdr:row>
      <xdr:rowOff>116264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37161" y="3857625"/>
          <a:ext cx="6145290" cy="32785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114299</xdr:rowOff>
    </xdr:from>
    <xdr:to>
      <xdr:col>7</xdr:col>
      <xdr:colOff>474533</xdr:colOff>
      <xdr:row>35</xdr:row>
      <xdr:rowOff>53340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895724"/>
          <a:ext cx="5821868" cy="3181351"/>
        </a:xfrm>
        <a:prstGeom prst="rect">
          <a:avLst/>
        </a:prstGeom>
      </xdr:spPr>
    </xdr:pic>
    <xdr:clientData/>
  </xdr:twoCellAnchor>
  <xdr:twoCellAnchor editAs="oneCell">
    <xdr:from>
      <xdr:col>0</xdr:col>
      <xdr:colOff>167640</xdr:colOff>
      <xdr:row>0</xdr:row>
      <xdr:rowOff>45720</xdr:rowOff>
    </xdr:from>
    <xdr:to>
      <xdr:col>2</xdr:col>
      <xdr:colOff>480234</xdr:colOff>
      <xdr:row>0</xdr:row>
      <xdr:rowOff>472477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38AFD5A2-2AF0-D92A-CECC-A9B52586BE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45720"/>
          <a:ext cx="2004234" cy="4267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440544</xdr:colOff>
      <xdr:row>18</xdr:row>
      <xdr:rowOff>85726</xdr:rowOff>
    </xdr:from>
    <xdr:to>
      <xdr:col>15</xdr:col>
      <xdr:colOff>667170</xdr:colOff>
      <xdr:row>35</xdr:row>
      <xdr:rowOff>53340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55494" y="3867151"/>
          <a:ext cx="5998776" cy="320039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7</xdr:col>
      <xdr:colOff>434340</xdr:colOff>
      <xdr:row>35</xdr:row>
      <xdr:rowOff>98185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971925"/>
          <a:ext cx="5743575" cy="3138565"/>
        </a:xfrm>
        <a:prstGeom prst="rect">
          <a:avLst/>
        </a:prstGeom>
      </xdr:spPr>
    </xdr:pic>
    <xdr:clientData/>
  </xdr:twoCellAnchor>
  <xdr:twoCellAnchor editAs="oneCell">
    <xdr:from>
      <xdr:col>0</xdr:col>
      <xdr:colOff>198120</xdr:colOff>
      <xdr:row>0</xdr:row>
      <xdr:rowOff>45720</xdr:rowOff>
    </xdr:from>
    <xdr:to>
      <xdr:col>2</xdr:col>
      <xdr:colOff>480234</xdr:colOff>
      <xdr:row>0</xdr:row>
      <xdr:rowOff>472477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30A8521F-2CBE-1BBC-2690-EB9DEEF72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120" y="45720"/>
          <a:ext cx="2004234" cy="4267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259080</xdr:colOff>
      <xdr:row>0</xdr:row>
      <xdr:rowOff>38100</xdr:rowOff>
    </xdr:from>
    <xdr:to>
      <xdr:col>2</xdr:col>
      <xdr:colOff>609774</xdr:colOff>
      <xdr:row>0</xdr:row>
      <xdr:rowOff>464857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55AC33F2-6132-2E74-F17C-B7B8ECA188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38100"/>
          <a:ext cx="2004234" cy="42675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457199</xdr:colOff>
      <xdr:row>16</xdr:row>
      <xdr:rowOff>180974</xdr:rowOff>
    </xdr:from>
    <xdr:to>
      <xdr:col>11</xdr:col>
      <xdr:colOff>723899</xdr:colOff>
      <xdr:row>27</xdr:row>
      <xdr:rowOff>123825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16</xdr:row>
      <xdr:rowOff>19051</xdr:rowOff>
    </xdr:from>
    <xdr:to>
      <xdr:col>6</xdr:col>
      <xdr:colOff>339090</xdr:colOff>
      <xdr:row>33</xdr:row>
      <xdr:rowOff>72390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238501"/>
          <a:ext cx="4724400" cy="3276599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0</xdr:row>
      <xdr:rowOff>30480</xdr:rowOff>
    </xdr:from>
    <xdr:to>
      <xdr:col>2</xdr:col>
      <xdr:colOff>567864</xdr:colOff>
      <xdr:row>0</xdr:row>
      <xdr:rowOff>457237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98B2C0C5-E42B-3EE1-2EE3-7F46B19146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30480"/>
          <a:ext cx="2004234" cy="42675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304801</xdr:colOff>
      <xdr:row>16</xdr:row>
      <xdr:rowOff>180974</xdr:rowOff>
    </xdr:from>
    <xdr:to>
      <xdr:col>11</xdr:col>
      <xdr:colOff>723900</xdr:colOff>
      <xdr:row>27</xdr:row>
      <xdr:rowOff>161925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16</xdr:row>
      <xdr:rowOff>85726</xdr:rowOff>
    </xdr:from>
    <xdr:to>
      <xdr:col>6</xdr:col>
      <xdr:colOff>304800</xdr:colOff>
      <xdr:row>33</xdr:row>
      <xdr:rowOff>129540</xdr:rowOff>
    </xdr:to>
    <xdr:pic>
      <xdr:nvPicPr>
        <xdr:cNvPr id="13" name="Imag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305176"/>
          <a:ext cx="4695825" cy="3286124"/>
        </a:xfrm>
        <a:prstGeom prst="rect">
          <a:avLst/>
        </a:prstGeom>
      </xdr:spPr>
    </xdr:pic>
    <xdr:clientData/>
  </xdr:twoCellAnchor>
  <xdr:twoCellAnchor editAs="oneCell">
    <xdr:from>
      <xdr:col>0</xdr:col>
      <xdr:colOff>106680</xdr:colOff>
      <xdr:row>0</xdr:row>
      <xdr:rowOff>7620</xdr:rowOff>
    </xdr:from>
    <xdr:to>
      <xdr:col>2</xdr:col>
      <xdr:colOff>579294</xdr:colOff>
      <xdr:row>0</xdr:row>
      <xdr:rowOff>434377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C89E2816-1CDE-2E95-86B7-D14D82712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" y="7620"/>
          <a:ext cx="2004234" cy="42675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22860</xdr:rowOff>
    </xdr:from>
    <xdr:to>
      <xdr:col>2</xdr:col>
      <xdr:colOff>373554</xdr:colOff>
      <xdr:row>0</xdr:row>
      <xdr:rowOff>449617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B8423D9E-B4DA-1BC6-BBB4-830D3E248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22860"/>
          <a:ext cx="2004234" cy="42675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371476</xdr:colOff>
      <xdr:row>20</xdr:row>
      <xdr:rowOff>114299</xdr:rowOff>
    </xdr:from>
    <xdr:to>
      <xdr:col>11</xdr:col>
      <xdr:colOff>771526</xdr:colOff>
      <xdr:row>32</xdr:row>
      <xdr:rowOff>28574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19</xdr:row>
      <xdr:rowOff>19051</xdr:rowOff>
    </xdr:from>
    <xdr:to>
      <xdr:col>6</xdr:col>
      <xdr:colOff>190500</xdr:colOff>
      <xdr:row>39</xdr:row>
      <xdr:rowOff>38101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324226"/>
          <a:ext cx="4505325" cy="3600450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</xdr:colOff>
      <xdr:row>0</xdr:row>
      <xdr:rowOff>22860</xdr:rowOff>
    </xdr:from>
    <xdr:to>
      <xdr:col>2</xdr:col>
      <xdr:colOff>579294</xdr:colOff>
      <xdr:row>0</xdr:row>
      <xdr:rowOff>449617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674EBB3C-DE65-90BF-84FB-2283CF917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" y="22860"/>
          <a:ext cx="2004234" cy="42675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476251</xdr:colOff>
      <xdr:row>20</xdr:row>
      <xdr:rowOff>104774</xdr:rowOff>
    </xdr:from>
    <xdr:to>
      <xdr:col>11</xdr:col>
      <xdr:colOff>685801</xdr:colOff>
      <xdr:row>32</xdr:row>
      <xdr:rowOff>76199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</xdr:colOff>
      <xdr:row>19</xdr:row>
      <xdr:rowOff>19050</xdr:rowOff>
    </xdr:from>
    <xdr:to>
      <xdr:col>6</xdr:col>
      <xdr:colOff>367666</xdr:colOff>
      <xdr:row>39</xdr:row>
      <xdr:rowOff>19050</xdr:rowOff>
    </xdr:to>
    <xdr:pic>
      <xdr:nvPicPr>
        <xdr:cNvPr id="10" name="Imag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3324225"/>
          <a:ext cx="4705350" cy="3581400"/>
        </a:xfrm>
        <a:prstGeom prst="rect">
          <a:avLst/>
        </a:prstGeom>
      </xdr:spPr>
    </xdr:pic>
    <xdr:clientData/>
  </xdr:twoCellAnchor>
  <xdr:twoCellAnchor editAs="oneCell">
    <xdr:from>
      <xdr:col>0</xdr:col>
      <xdr:colOff>60960</xdr:colOff>
      <xdr:row>0</xdr:row>
      <xdr:rowOff>53340</xdr:rowOff>
    </xdr:from>
    <xdr:to>
      <xdr:col>2</xdr:col>
      <xdr:colOff>564054</xdr:colOff>
      <xdr:row>0</xdr:row>
      <xdr:rowOff>480097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F24C50A3-CF56-2737-E466-098D683DE8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" y="53340"/>
          <a:ext cx="2004234" cy="42675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30480</xdr:rowOff>
    </xdr:from>
    <xdr:to>
      <xdr:col>2</xdr:col>
      <xdr:colOff>503094</xdr:colOff>
      <xdr:row>0</xdr:row>
      <xdr:rowOff>457237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4388AAB1-3296-355B-E23B-8270D70E1F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30480"/>
          <a:ext cx="2004234" cy="4267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>
    <pageSetUpPr fitToPage="1"/>
  </sheetPr>
  <dimension ref="A1:P18"/>
  <sheetViews>
    <sheetView view="pageLayout" topLeftCell="A4" zoomScaleNormal="100" workbookViewId="0">
      <selection activeCell="L10" sqref="L10"/>
    </sheetView>
  </sheetViews>
  <sheetFormatPr baseColWidth="10" defaultColWidth="11.42578125" defaultRowHeight="15" x14ac:dyDescent="0.25"/>
  <cols>
    <col min="1" max="1" width="13.140625" customWidth="1"/>
    <col min="2" max="2" width="11.5703125" customWidth="1"/>
    <col min="3" max="3" width="10.5703125" customWidth="1"/>
    <col min="4" max="4" width="11.140625" customWidth="1"/>
    <col min="5" max="5" width="10.140625" customWidth="1"/>
    <col min="6" max="6" width="11.7109375" customWidth="1"/>
    <col min="7" max="7" width="11.85546875" customWidth="1"/>
    <col min="8" max="8" width="9.28515625" customWidth="1"/>
    <col min="9" max="9" width="10.5703125" customWidth="1"/>
    <col min="10" max="10" width="12.7109375" customWidth="1"/>
    <col min="11" max="11" width="11" customWidth="1"/>
    <col min="12" max="12" width="11.28515625" customWidth="1"/>
    <col min="13" max="15" width="11.42578125" style="1"/>
  </cols>
  <sheetData>
    <row r="1" spans="1:16" ht="41.25" customHeight="1" x14ac:dyDescent="0.25">
      <c r="A1" s="85"/>
      <c r="B1" s="86"/>
      <c r="C1" s="87"/>
      <c r="D1" s="72" t="s">
        <v>0</v>
      </c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</row>
    <row r="2" spans="1:16" ht="7.5" customHeight="1" x14ac:dyDescent="0.25">
      <c r="A2" s="5"/>
      <c r="B2" s="5"/>
      <c r="C2" s="5"/>
      <c r="D2" s="6"/>
      <c r="E2" s="6"/>
      <c r="F2" s="6"/>
      <c r="G2" s="6"/>
      <c r="H2" s="6"/>
      <c r="I2" s="6"/>
      <c r="J2" s="6"/>
      <c r="K2" s="6"/>
      <c r="L2" s="6"/>
      <c r="M2"/>
      <c r="N2"/>
      <c r="O2"/>
    </row>
    <row r="3" spans="1:16" s="13" customFormat="1" ht="15" customHeight="1" x14ac:dyDescent="0.2">
      <c r="A3" s="12" t="s">
        <v>1</v>
      </c>
      <c r="B3" s="88"/>
      <c r="C3" s="88"/>
      <c r="D3" s="88"/>
      <c r="E3" s="88"/>
      <c r="F3" s="88"/>
      <c r="I3" s="14"/>
      <c r="J3" s="15" t="s">
        <v>2</v>
      </c>
      <c r="K3" s="54"/>
      <c r="L3" s="14"/>
    </row>
    <row r="4" spans="1:16" s="13" customFormat="1" ht="15" customHeight="1" x14ac:dyDescent="0.2">
      <c r="A4" s="12" t="s">
        <v>3</v>
      </c>
      <c r="B4" s="88"/>
      <c r="C4" s="88"/>
      <c r="D4" s="88"/>
      <c r="E4" s="88"/>
      <c r="F4" s="88"/>
      <c r="G4" s="14"/>
      <c r="H4" s="14"/>
      <c r="I4" s="14"/>
      <c r="J4" s="15" t="s">
        <v>4</v>
      </c>
      <c r="K4" s="54"/>
      <c r="L4" s="14"/>
    </row>
    <row r="5" spans="1:16" s="13" customFormat="1" ht="15" customHeight="1" x14ac:dyDescent="0.2">
      <c r="A5" s="12" t="s">
        <v>5</v>
      </c>
      <c r="B5" s="55"/>
      <c r="C5" s="12" t="s">
        <v>6</v>
      </c>
      <c r="D5" s="89"/>
      <c r="E5" s="89"/>
      <c r="F5" s="89"/>
      <c r="G5" s="14"/>
      <c r="H5" s="14"/>
      <c r="I5" s="14"/>
      <c r="J5" s="15" t="s">
        <v>7</v>
      </c>
      <c r="K5" s="14"/>
      <c r="L5" s="71">
        <f ca="1">TODAY()</f>
        <v>46043</v>
      </c>
    </row>
    <row r="6" spans="1:16" s="13" customFormat="1" ht="5.25" customHeight="1" x14ac:dyDescent="0.2">
      <c r="A6" s="29"/>
      <c r="B6" s="29"/>
      <c r="C6" s="29"/>
      <c r="D6" s="14"/>
      <c r="E6" s="14"/>
      <c r="F6" s="14"/>
      <c r="G6" s="14"/>
      <c r="H6" s="14"/>
      <c r="I6" s="14"/>
      <c r="J6" s="14"/>
      <c r="K6" s="14"/>
      <c r="L6" s="14"/>
    </row>
    <row r="7" spans="1:16" x14ac:dyDescent="0.25">
      <c r="A7" s="73" t="s">
        <v>8</v>
      </c>
      <c r="B7" s="73"/>
      <c r="C7" s="73"/>
      <c r="D7" s="73"/>
      <c r="E7" s="73"/>
      <c r="F7" s="73"/>
      <c r="G7" s="73"/>
      <c r="H7" s="73"/>
      <c r="I7" s="74" t="s">
        <v>9</v>
      </c>
      <c r="J7" s="74"/>
      <c r="K7" s="74"/>
      <c r="L7" s="74"/>
      <c r="M7" s="74"/>
      <c r="N7" s="74"/>
      <c r="O7" s="74"/>
      <c r="P7" s="74"/>
    </row>
    <row r="8" spans="1:16" ht="31.5" customHeight="1" x14ac:dyDescent="0.25">
      <c r="A8" s="65" t="s">
        <v>10</v>
      </c>
      <c r="B8" s="65" t="s">
        <v>11</v>
      </c>
      <c r="C8" s="65" t="s">
        <v>12</v>
      </c>
      <c r="D8" s="65" t="s">
        <v>13</v>
      </c>
      <c r="E8" s="65" t="s">
        <v>14</v>
      </c>
      <c r="F8" s="65" t="s">
        <v>15</v>
      </c>
      <c r="G8" s="65" t="s">
        <v>16</v>
      </c>
      <c r="H8" s="65" t="s">
        <v>17</v>
      </c>
      <c r="I8" s="66" t="s">
        <v>10</v>
      </c>
      <c r="J8" s="66" t="s">
        <v>11</v>
      </c>
      <c r="K8" s="66" t="s">
        <v>12</v>
      </c>
      <c r="L8" s="66" t="s">
        <v>13</v>
      </c>
      <c r="M8" s="67" t="s">
        <v>14</v>
      </c>
      <c r="N8" s="67" t="s">
        <v>15</v>
      </c>
      <c r="O8" s="67" t="s">
        <v>16</v>
      </c>
      <c r="P8" s="67" t="s">
        <v>17</v>
      </c>
    </row>
    <row r="9" spans="1:16" ht="15.75" customHeight="1" x14ac:dyDescent="0.25">
      <c r="A9" s="21">
        <v>3</v>
      </c>
      <c r="B9" s="46">
        <v>-1.5E-3</v>
      </c>
      <c r="C9" s="46">
        <v>-8.0000000000000004E-4</v>
      </c>
      <c r="D9" s="46">
        <v>-1.5E-3</v>
      </c>
      <c r="E9" s="96">
        <v>4.0000000000000001E-3</v>
      </c>
      <c r="F9" s="79">
        <f>MIN(B9:D11)</f>
        <v>-1.8E-3</v>
      </c>
      <c r="G9" s="79">
        <f>MAX(B9:D11)</f>
        <v>6.9999999999999999E-4</v>
      </c>
      <c r="H9" s="75">
        <f>G9-F9</f>
        <v>2.5000000000000001E-3</v>
      </c>
      <c r="I9" s="24">
        <v>3</v>
      </c>
      <c r="J9" s="46">
        <v>2.0000000000000001E-4</v>
      </c>
      <c r="K9" s="46">
        <v>5.9999999999999995E-4</v>
      </c>
      <c r="L9" s="46">
        <v>1.5E-3</v>
      </c>
      <c r="M9" s="93">
        <v>4.0000000000000001E-3</v>
      </c>
      <c r="N9" s="82">
        <f>MIN(J9:L11)</f>
        <v>-5.9999999999999995E-4</v>
      </c>
      <c r="O9" s="82">
        <f>MAX(J9:L11)</f>
        <v>1.5E-3</v>
      </c>
      <c r="P9" s="78">
        <f>O9-N9</f>
        <v>2.0999999999999999E-3</v>
      </c>
    </row>
    <row r="10" spans="1:16" ht="15" customHeight="1" x14ac:dyDescent="0.25">
      <c r="A10" s="21">
        <v>2</v>
      </c>
      <c r="B10" s="46">
        <v>-1.5E-3</v>
      </c>
      <c r="C10" s="46">
        <v>6.9999999999999999E-4</v>
      </c>
      <c r="D10" s="46">
        <v>-5.0000000000000001E-4</v>
      </c>
      <c r="E10" s="97"/>
      <c r="F10" s="80"/>
      <c r="G10" s="80"/>
      <c r="H10" s="76"/>
      <c r="I10" s="24">
        <v>2</v>
      </c>
      <c r="J10" s="46">
        <v>2.9999999999999997E-4</v>
      </c>
      <c r="K10" s="46">
        <v>1.1999999999999999E-3</v>
      </c>
      <c r="L10" s="46" t="s">
        <v>18</v>
      </c>
      <c r="M10" s="94"/>
      <c r="N10" s="83"/>
      <c r="O10" s="83"/>
      <c r="P10" s="78"/>
    </row>
    <row r="11" spans="1:16" ht="15.75" customHeight="1" x14ac:dyDescent="0.25">
      <c r="A11" s="21">
        <v>1</v>
      </c>
      <c r="B11" s="46">
        <v>-1.8E-3</v>
      </c>
      <c r="C11" s="46">
        <v>0</v>
      </c>
      <c r="D11" s="46">
        <v>-1.1999999999999999E-3</v>
      </c>
      <c r="E11" s="98"/>
      <c r="F11" s="81"/>
      <c r="G11" s="81"/>
      <c r="H11" s="77"/>
      <c r="I11" s="24">
        <v>1</v>
      </c>
      <c r="J11" s="46">
        <v>-5.9999999999999995E-4</v>
      </c>
      <c r="K11" s="46">
        <v>2.0000000000000001E-4</v>
      </c>
      <c r="L11" s="46">
        <v>1E-3</v>
      </c>
      <c r="M11" s="95"/>
      <c r="N11" s="84"/>
      <c r="O11" s="84"/>
      <c r="P11" s="78"/>
    </row>
    <row r="12" spans="1:16" ht="15.75" customHeight="1" x14ac:dyDescent="0.25">
      <c r="A12" s="47" t="s">
        <v>19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8"/>
      <c r="M12" s="49"/>
      <c r="N12" s="49"/>
      <c r="O12" s="49"/>
      <c r="P12" s="50"/>
    </row>
    <row r="13" spans="1:16" x14ac:dyDescent="0.25">
      <c r="A13" s="28"/>
      <c r="B13" s="29"/>
      <c r="C13" s="29"/>
      <c r="D13" s="30"/>
      <c r="E13" s="29"/>
      <c r="F13" s="29"/>
      <c r="G13" s="29"/>
      <c r="H13" s="45"/>
      <c r="I13" s="31"/>
      <c r="J13" s="32"/>
      <c r="K13" s="32"/>
      <c r="L13" s="33"/>
      <c r="M13" s="29"/>
      <c r="N13" s="29"/>
      <c r="O13" s="29"/>
      <c r="P13" s="45"/>
    </row>
    <row r="14" spans="1:16" x14ac:dyDescent="0.25">
      <c r="A14" s="99" t="s">
        <v>20</v>
      </c>
      <c r="B14" s="100"/>
      <c r="C14" s="100"/>
      <c r="D14" s="100"/>
      <c r="E14" s="100"/>
      <c r="F14" s="101"/>
      <c r="G14" s="102" t="s">
        <v>21</v>
      </c>
      <c r="H14" s="102"/>
      <c r="I14" s="31"/>
      <c r="J14" s="32"/>
      <c r="K14" s="32"/>
      <c r="L14" s="33"/>
      <c r="M14" s="29"/>
      <c r="N14" s="29"/>
      <c r="O14" s="29"/>
      <c r="P14" s="45"/>
    </row>
    <row r="15" spans="1:16" x14ac:dyDescent="0.25">
      <c r="A15" s="90" t="s">
        <v>22</v>
      </c>
      <c r="B15" s="90"/>
      <c r="C15" s="51">
        <f>MIN(B9:D11,J9:L11)</f>
        <v>-1.8E-3</v>
      </c>
      <c r="D15" s="91" t="s">
        <v>23</v>
      </c>
      <c r="E15" s="91"/>
      <c r="F15" s="92">
        <f>C16-C15</f>
        <v>3.3E-3</v>
      </c>
      <c r="G15" s="103" t="str">
        <f>IF(OR(B11="",C11="",D11="",J11="",K11="",L11=""),"",IF(AND(H9&lt;=0.4%,P9&lt;=0.4%,F15&lt;=0.4%),"CONFORME","NON CONFORME"))</f>
        <v>CONFORME</v>
      </c>
      <c r="H15" s="103"/>
      <c r="I15" s="12"/>
      <c r="J15" s="13"/>
      <c r="K15" s="13"/>
      <c r="L15" s="13"/>
      <c r="M15" s="13"/>
      <c r="N15" s="13"/>
      <c r="O15" s="13"/>
      <c r="P15" s="13"/>
    </row>
    <row r="16" spans="1:16" x14ac:dyDescent="0.25">
      <c r="A16" s="90" t="s">
        <v>24</v>
      </c>
      <c r="B16" s="90"/>
      <c r="C16" s="51">
        <f>MAX(B9:D11,J9:L11)</f>
        <v>1.5E-3</v>
      </c>
      <c r="D16" s="91"/>
      <c r="E16" s="91"/>
      <c r="F16" s="92"/>
      <c r="G16" s="36"/>
      <c r="H16" s="36"/>
      <c r="I16" s="29"/>
      <c r="J16" s="13"/>
      <c r="K16" s="13"/>
      <c r="L16" s="13"/>
      <c r="M16" s="13"/>
      <c r="N16" s="13"/>
      <c r="O16" s="13"/>
      <c r="P16" s="13"/>
    </row>
    <row r="18" spans="1:9" x14ac:dyDescent="0.25">
      <c r="A18" s="4" t="s">
        <v>25</v>
      </c>
      <c r="I18" s="4" t="s">
        <v>26</v>
      </c>
    </row>
  </sheetData>
  <sheetProtection algorithmName="SHA-512" hashValue="PMjCR4mY4Jq/9B7PQNm9FtdRRd21ASd18r8ezCWOK1YmAo95NnFRJGhM1STpJsdirrIUQwgHa4/dfykKhm2HjQ==" saltValue="OG+nhr5Q/Rwe/6hKTf7ihw==" spinCount="100000" sheet="1" objects="1" scenarios="1"/>
  <protectedRanges>
    <protectedRange sqref="L5" name="Plage1"/>
  </protectedRanges>
  <mergeCells count="22">
    <mergeCell ref="A15:B15"/>
    <mergeCell ref="D15:E16"/>
    <mergeCell ref="F15:F16"/>
    <mergeCell ref="A16:B16"/>
    <mergeCell ref="M9:M11"/>
    <mergeCell ref="E9:E11"/>
    <mergeCell ref="A14:F14"/>
    <mergeCell ref="G14:H14"/>
    <mergeCell ref="G15:H15"/>
    <mergeCell ref="D1:P1"/>
    <mergeCell ref="A7:H7"/>
    <mergeCell ref="I7:P7"/>
    <mergeCell ref="H9:H11"/>
    <mergeCell ref="P9:P11"/>
    <mergeCell ref="F9:F11"/>
    <mergeCell ref="G9:G11"/>
    <mergeCell ref="N9:N11"/>
    <mergeCell ref="O9:O11"/>
    <mergeCell ref="A1:C1"/>
    <mergeCell ref="B3:F3"/>
    <mergeCell ref="B4:F4"/>
    <mergeCell ref="D5:F5"/>
  </mergeCells>
  <conditionalFormatting sqref="D13">
    <cfRule type="iconSet" priority="44">
      <iconSet iconSet="3Symbols" reverse="1">
        <cfvo type="percent" val="0"/>
        <cfvo type="num" val="#REF!"/>
        <cfvo type="num" val="#REF!"/>
      </iconSet>
    </cfRule>
  </conditionalFormatting>
  <conditionalFormatting sqref="L13:L14">
    <cfRule type="iconSet" priority="45">
      <iconSet iconSet="3Symbols" reverse="1">
        <cfvo type="percent" val="0"/>
        <cfvo type="num" val="#REF!"/>
        <cfvo type="num" val="#REF!"/>
      </iconSet>
    </cfRule>
  </conditionalFormatting>
  <pageMargins left="0.11811023622047245" right="0.15748031496062992" top="0.55118110236220474" bottom="0.55118110236220474" header="0.31496062992125984" footer="0.31496062992125984"/>
  <pageSetup paperSize="9" scale="79" fitToHeight="0" orientation="landscape" r:id="rId1"/>
  <headerFooter>
    <oddHeader>&amp;RDOC-C-15  - V6</oddHead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E21C1D1F-36BB-420C-B92B-15D39832DC67}">
            <x14:iconSet iconSet="3Symbols" custom="1">
              <x14:cfvo type="percent">
                <xm:f>0</xm:f>
              </x14:cfvo>
              <x14:cfvo type="num">
                <xm:f>4.0000000000000001E-3</xm:f>
              </x14:cfvo>
              <x14:cfvo type="num" gte="0">
                <xm:f>4.0000000000000001E-3</xm:f>
              </x14:cfvo>
              <x14:cfIcon iconSet="3Symbols" iconId="2"/>
              <x14:cfIcon iconSet="3Symbols" iconId="2"/>
              <x14:cfIcon iconSet="3Symbols" iconId="0"/>
            </x14:iconSet>
          </x14:cfRule>
          <xm:sqref>F15:F16</xm:sqref>
        </x14:conditionalFormatting>
        <x14:conditionalFormatting xmlns:xm="http://schemas.microsoft.com/office/excel/2006/main">
          <x14:cfRule type="iconSet" priority="1" id="{E9D500A0-B7B2-42C9-99AB-F265BC469128}">
            <x14:iconSet iconSet="3Symbols" custom="1">
              <x14:cfvo type="percent">
                <xm:f>0</xm:f>
              </x14:cfvo>
              <x14:cfvo type="num">
                <xm:f>4.0000000000000001E-3</xm:f>
              </x14:cfvo>
              <x14:cfvo type="num" gte="0">
                <xm:f>4.0000000000000001E-3</xm:f>
              </x14:cfvo>
              <x14:cfIcon iconSet="3Symbols" iconId="2"/>
              <x14:cfIcon iconSet="3Symbols" iconId="2"/>
              <x14:cfIcon iconSet="3Symbols" iconId="0"/>
            </x14:iconSet>
          </x14:cfRule>
          <xm:sqref>H9</xm:sqref>
        </x14:conditionalFormatting>
        <x14:conditionalFormatting xmlns:xm="http://schemas.microsoft.com/office/excel/2006/main">
          <x14:cfRule type="iconSet" priority="8" id="{EF692304-C338-4ADF-9FB2-D53906655ABD}">
            <x14:iconSet iconSet="3Symbols" custom="1">
              <x14:cfvo type="percent">
                <xm:f>0</xm:f>
              </x14:cfvo>
              <x14:cfvo type="num">
                <xm:f>4.0000000000000001E-3</xm:f>
              </x14:cfvo>
              <x14:cfvo type="num" gte="0">
                <xm:f>4.0000000000000001E-3</xm:f>
              </x14:cfvo>
              <x14:cfIcon iconSet="3Symbols" iconId="2"/>
              <x14:cfIcon iconSet="3Symbols" iconId="2"/>
              <x14:cfIcon iconSet="3Symbols" iconId="0"/>
            </x14:iconSet>
          </x14:cfRule>
          <xm:sqref>P9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18"/>
  <sheetViews>
    <sheetView zoomScaleNormal="100" workbookViewId="0">
      <selection activeCell="B3" sqref="B3:F3"/>
    </sheetView>
  </sheetViews>
  <sheetFormatPr baseColWidth="10" defaultColWidth="11.42578125" defaultRowHeight="15" x14ac:dyDescent="0.25"/>
  <cols>
    <col min="1" max="1" width="13.42578125" customWidth="1"/>
    <col min="2" max="4" width="11.7109375" customWidth="1"/>
    <col min="5" max="5" width="10.140625" customWidth="1"/>
    <col min="6" max="6" width="10.5703125" customWidth="1"/>
    <col min="7" max="7" width="10.42578125" customWidth="1"/>
    <col min="8" max="8" width="10.5703125" customWidth="1"/>
    <col min="9" max="9" width="9.28515625" customWidth="1"/>
    <col min="10" max="10" width="11.7109375" customWidth="1"/>
    <col min="11" max="12" width="11.5703125" customWidth="1"/>
    <col min="13" max="13" width="10.140625" style="1" customWidth="1"/>
    <col min="14" max="14" width="10.28515625" style="1" customWidth="1"/>
    <col min="15" max="15" width="11.42578125" style="1" customWidth="1"/>
    <col min="16" max="16" width="10.5703125" customWidth="1"/>
  </cols>
  <sheetData>
    <row r="1" spans="1:16" ht="41.25" customHeight="1" x14ac:dyDescent="0.25">
      <c r="A1" s="85"/>
      <c r="B1" s="86"/>
      <c r="C1" s="87"/>
      <c r="D1" s="72" t="s">
        <v>27</v>
      </c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</row>
    <row r="2" spans="1:16" ht="7.5" customHeight="1" x14ac:dyDescent="0.25">
      <c r="A2" s="5"/>
      <c r="B2" s="5"/>
      <c r="C2" s="5"/>
      <c r="D2" s="6"/>
      <c r="E2" s="6"/>
      <c r="F2" s="6"/>
      <c r="G2" s="6"/>
      <c r="H2" s="6"/>
      <c r="I2" s="6"/>
      <c r="J2" s="6"/>
      <c r="K2" s="6"/>
      <c r="L2" s="6"/>
      <c r="M2"/>
      <c r="N2"/>
      <c r="O2"/>
    </row>
    <row r="3" spans="1:16" s="13" customFormat="1" ht="15" customHeight="1" x14ac:dyDescent="0.2">
      <c r="A3" s="12" t="s">
        <v>1</v>
      </c>
      <c r="B3" s="88">
        <f>'Zone RPH 1'!B3</f>
        <v>0</v>
      </c>
      <c r="C3" s="88"/>
      <c r="D3" s="88"/>
      <c r="E3" s="88"/>
      <c r="F3" s="88"/>
      <c r="I3" s="14"/>
      <c r="J3" s="15" t="s">
        <v>2</v>
      </c>
      <c r="K3" s="64"/>
      <c r="L3" s="14"/>
    </row>
    <row r="4" spans="1:16" s="13" customFormat="1" ht="15" customHeight="1" x14ac:dyDescent="0.2">
      <c r="A4" s="12" t="s">
        <v>3</v>
      </c>
      <c r="B4" s="88">
        <f>'Zone RPH 1'!B4</f>
        <v>0</v>
      </c>
      <c r="C4" s="88"/>
      <c r="D4" s="88"/>
      <c r="E4" s="88"/>
      <c r="F4" s="88"/>
      <c r="G4" s="14"/>
      <c r="H4" s="14"/>
      <c r="I4" s="14"/>
      <c r="J4" s="15" t="s">
        <v>4</v>
      </c>
      <c r="K4" s="64">
        <f>'Zone RPH 1'!K4</f>
        <v>0</v>
      </c>
      <c r="L4" s="14"/>
    </row>
    <row r="5" spans="1:16" s="13" customFormat="1" ht="15" customHeight="1" x14ac:dyDescent="0.2">
      <c r="A5" s="12" t="s">
        <v>5</v>
      </c>
      <c r="B5" s="55">
        <f>'Zone RPH 1'!B5</f>
        <v>0</v>
      </c>
      <c r="C5" s="12" t="s">
        <v>6</v>
      </c>
      <c r="D5" s="89">
        <f>'Zone RPH 1'!D5:F5</f>
        <v>0</v>
      </c>
      <c r="E5" s="89"/>
      <c r="F5" s="89"/>
      <c r="G5" s="14"/>
      <c r="H5" s="14"/>
      <c r="I5" s="14"/>
      <c r="J5" s="15" t="s">
        <v>7</v>
      </c>
      <c r="K5" s="14"/>
      <c r="L5" s="71">
        <f ca="1">TODAY()</f>
        <v>46043</v>
      </c>
    </row>
    <row r="6" spans="1:16" s="13" customFormat="1" ht="5.25" customHeight="1" x14ac:dyDescent="0.2">
      <c r="A6" s="29"/>
      <c r="B6" s="29"/>
      <c r="C6" s="29"/>
      <c r="D6" s="14"/>
      <c r="E6" s="14"/>
      <c r="F6" s="14"/>
      <c r="G6" s="14"/>
      <c r="H6" s="14"/>
      <c r="I6" s="14"/>
      <c r="J6" s="14"/>
      <c r="K6" s="14"/>
      <c r="L6" s="14"/>
    </row>
    <row r="7" spans="1:16" x14ac:dyDescent="0.25">
      <c r="A7" s="73" t="s">
        <v>8</v>
      </c>
      <c r="B7" s="73"/>
      <c r="C7" s="73"/>
      <c r="D7" s="73"/>
      <c r="E7" s="73"/>
      <c r="F7" s="73"/>
      <c r="G7" s="73"/>
      <c r="H7" s="73"/>
      <c r="I7" s="74" t="s">
        <v>9</v>
      </c>
      <c r="J7" s="74"/>
      <c r="K7" s="74"/>
      <c r="L7" s="74"/>
      <c r="M7" s="74"/>
      <c r="N7" s="74"/>
      <c r="O7" s="74"/>
      <c r="P7" s="74"/>
    </row>
    <row r="8" spans="1:16" ht="31.5" customHeight="1" x14ac:dyDescent="0.25">
      <c r="A8" s="18" t="s">
        <v>10</v>
      </c>
      <c r="B8" s="18" t="s">
        <v>11</v>
      </c>
      <c r="C8" s="18" t="s">
        <v>12</v>
      </c>
      <c r="D8" s="18" t="s">
        <v>13</v>
      </c>
      <c r="E8" s="18" t="s">
        <v>14</v>
      </c>
      <c r="F8" s="18" t="s">
        <v>15</v>
      </c>
      <c r="G8" s="18" t="s">
        <v>16</v>
      </c>
      <c r="H8" s="18" t="s">
        <v>17</v>
      </c>
      <c r="I8" s="19" t="s">
        <v>10</v>
      </c>
      <c r="J8" s="19" t="s">
        <v>11</v>
      </c>
      <c r="K8" s="19" t="s">
        <v>12</v>
      </c>
      <c r="L8" s="19" t="s">
        <v>13</v>
      </c>
      <c r="M8" s="20" t="s">
        <v>14</v>
      </c>
      <c r="N8" s="20" t="s">
        <v>15</v>
      </c>
      <c r="O8" s="20" t="s">
        <v>16</v>
      </c>
      <c r="P8" s="20" t="s">
        <v>17</v>
      </c>
    </row>
    <row r="9" spans="1:16" ht="15.75" customHeight="1" x14ac:dyDescent="0.25">
      <c r="A9" s="21">
        <v>3</v>
      </c>
      <c r="B9" s="46"/>
      <c r="C9" s="46"/>
      <c r="D9" s="46"/>
      <c r="E9" s="96">
        <v>4.0000000000000001E-3</v>
      </c>
      <c r="F9" s="79">
        <f>MIN(B9:D11)</f>
        <v>0</v>
      </c>
      <c r="G9" s="79">
        <f>MAX(B9:D11)</f>
        <v>0</v>
      </c>
      <c r="H9" s="75">
        <f>G9-F9</f>
        <v>0</v>
      </c>
      <c r="I9" s="24">
        <v>3</v>
      </c>
      <c r="J9" s="46"/>
      <c r="K9" s="46"/>
      <c r="L9" s="46"/>
      <c r="M9" s="93">
        <v>4.0000000000000001E-3</v>
      </c>
      <c r="N9" s="82">
        <f>MIN(J9:L11)</f>
        <v>0</v>
      </c>
      <c r="O9" s="82">
        <f>MAX(J9:L11)</f>
        <v>0</v>
      </c>
      <c r="P9" s="78">
        <f>O9-N9</f>
        <v>0</v>
      </c>
    </row>
    <row r="10" spans="1:16" ht="15" customHeight="1" x14ac:dyDescent="0.25">
      <c r="A10" s="21">
        <v>2</v>
      </c>
      <c r="B10" s="46"/>
      <c r="C10" s="46"/>
      <c r="D10" s="46"/>
      <c r="E10" s="97"/>
      <c r="F10" s="80"/>
      <c r="G10" s="80"/>
      <c r="H10" s="76"/>
      <c r="I10" s="24">
        <v>2</v>
      </c>
      <c r="J10" s="46"/>
      <c r="K10" s="46"/>
      <c r="L10" s="46"/>
      <c r="M10" s="94"/>
      <c r="N10" s="83"/>
      <c r="O10" s="83"/>
      <c r="P10" s="78"/>
    </row>
    <row r="11" spans="1:16" ht="15.75" customHeight="1" x14ac:dyDescent="0.25">
      <c r="A11" s="21">
        <v>1</v>
      </c>
      <c r="B11" s="46"/>
      <c r="C11" s="46"/>
      <c r="D11" s="46"/>
      <c r="E11" s="98"/>
      <c r="F11" s="81"/>
      <c r="G11" s="81"/>
      <c r="H11" s="77"/>
      <c r="I11" s="24">
        <v>1</v>
      </c>
      <c r="J11" s="46"/>
      <c r="K11" s="46"/>
      <c r="L11" s="46"/>
      <c r="M11" s="95"/>
      <c r="N11" s="84"/>
      <c r="O11" s="84"/>
      <c r="P11" s="78"/>
    </row>
    <row r="12" spans="1:16" ht="15.75" customHeight="1" x14ac:dyDescent="0.25">
      <c r="A12" s="47" t="s">
        <v>19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8"/>
      <c r="M12" s="49"/>
      <c r="N12" s="49"/>
      <c r="O12" s="49"/>
      <c r="P12" s="50"/>
    </row>
    <row r="13" spans="1:16" x14ac:dyDescent="0.25">
      <c r="A13" s="28"/>
      <c r="B13" s="29"/>
      <c r="C13" s="29"/>
      <c r="D13" s="30"/>
      <c r="E13" s="29"/>
      <c r="F13" s="29"/>
      <c r="G13" s="29"/>
      <c r="H13" s="45"/>
      <c r="I13" s="31"/>
      <c r="J13" s="32"/>
      <c r="K13" s="32"/>
      <c r="L13" s="33"/>
      <c r="M13" s="29"/>
      <c r="N13" s="29"/>
      <c r="O13" s="29"/>
      <c r="P13" s="45"/>
    </row>
    <row r="14" spans="1:16" x14ac:dyDescent="0.25">
      <c r="A14" s="99" t="s">
        <v>20</v>
      </c>
      <c r="B14" s="100"/>
      <c r="C14" s="100"/>
      <c r="D14" s="100"/>
      <c r="E14" s="100"/>
      <c r="F14" s="101"/>
      <c r="G14" s="102" t="s">
        <v>21</v>
      </c>
      <c r="H14" s="102"/>
      <c r="I14" s="31"/>
      <c r="J14" s="32"/>
      <c r="K14" s="32"/>
      <c r="L14" s="33"/>
      <c r="M14" s="29"/>
      <c r="N14" s="29"/>
      <c r="O14" s="29"/>
      <c r="P14" s="45"/>
    </row>
    <row r="15" spans="1:16" x14ac:dyDescent="0.25">
      <c r="A15" s="90" t="s">
        <v>22</v>
      </c>
      <c r="B15" s="90"/>
      <c r="C15" s="51">
        <f>MIN(B9:D11,J9:L11)</f>
        <v>0</v>
      </c>
      <c r="D15" s="91" t="s">
        <v>23</v>
      </c>
      <c r="E15" s="91"/>
      <c r="F15" s="92">
        <f>C16-C15</f>
        <v>0</v>
      </c>
      <c r="G15" s="103" t="str">
        <f>IF(OR(B11="",C11="",D11="",J11="",K11="",L11=""),"",IF(AND(H9&lt;=0.4%,P9&lt;=0.4%,F15&lt;=0.4%),"CONFORME","NON CONFORME"))</f>
        <v/>
      </c>
      <c r="H15" s="103"/>
      <c r="I15" s="12"/>
      <c r="J15" s="13"/>
      <c r="K15" s="13"/>
      <c r="L15" s="13"/>
      <c r="M15" s="13"/>
      <c r="N15" s="13"/>
      <c r="O15" s="13"/>
      <c r="P15" s="13"/>
    </row>
    <row r="16" spans="1:16" x14ac:dyDescent="0.25">
      <c r="A16" s="90" t="s">
        <v>24</v>
      </c>
      <c r="B16" s="90"/>
      <c r="C16" s="51">
        <f>MAX(B9:D11,J9:L11)</f>
        <v>0</v>
      </c>
      <c r="D16" s="91"/>
      <c r="E16" s="91"/>
      <c r="F16" s="92"/>
      <c r="G16" s="36"/>
      <c r="H16" s="36"/>
      <c r="I16" s="29"/>
      <c r="J16" s="13"/>
      <c r="K16" s="13"/>
      <c r="L16" s="13"/>
      <c r="M16" s="13"/>
      <c r="N16" s="13"/>
      <c r="O16" s="13"/>
      <c r="P16" s="13"/>
    </row>
    <row r="18" spans="1:9" x14ac:dyDescent="0.25">
      <c r="A18" s="4" t="s">
        <v>25</v>
      </c>
      <c r="I18" s="4" t="s">
        <v>26</v>
      </c>
    </row>
  </sheetData>
  <sheetProtection algorithmName="SHA-512" hashValue="oN11fFqCoBic3H9X6SKxLAFbxwlJSc6839DdvSvajULN7Poj2/f/MuaWZQnHa3PuSTWxVoPczhc3TnaMEFHKZA==" saltValue="u1Pp2NZSM8R5DgryAh/9OQ==" spinCount="100000" sheet="1" objects="1" scenarios="1"/>
  <protectedRanges>
    <protectedRange sqref="L5" name="Plage1"/>
  </protectedRanges>
  <mergeCells count="22">
    <mergeCell ref="G14:H14"/>
    <mergeCell ref="G15:H15"/>
    <mergeCell ref="A15:B15"/>
    <mergeCell ref="D15:E16"/>
    <mergeCell ref="F15:F16"/>
    <mergeCell ref="A16:B16"/>
    <mergeCell ref="A14:F14"/>
    <mergeCell ref="A1:C1"/>
    <mergeCell ref="D1:P1"/>
    <mergeCell ref="A7:H7"/>
    <mergeCell ref="I7:P7"/>
    <mergeCell ref="E9:E11"/>
    <mergeCell ref="F9:F11"/>
    <mergeCell ref="G9:G11"/>
    <mergeCell ref="H9:H11"/>
    <mergeCell ref="M9:M11"/>
    <mergeCell ref="N9:N11"/>
    <mergeCell ref="B3:F3"/>
    <mergeCell ref="B4:F4"/>
    <mergeCell ref="D5:F5"/>
    <mergeCell ref="O9:O11"/>
    <mergeCell ref="P9:P11"/>
  </mergeCells>
  <conditionalFormatting sqref="D13">
    <cfRule type="iconSet" priority="4">
      <iconSet iconSet="3Symbols" reverse="1">
        <cfvo type="percent" val="0"/>
        <cfvo type="num" val="#REF!"/>
        <cfvo type="num" val="#REF!"/>
      </iconSet>
    </cfRule>
  </conditionalFormatting>
  <conditionalFormatting sqref="L13:L14">
    <cfRule type="iconSet" priority="5">
      <iconSet iconSet="3Symbols" reverse="1">
        <cfvo type="percent" val="0"/>
        <cfvo type="num" val="#REF!"/>
        <cfvo type="num" val="#REF!"/>
      </iconSet>
    </cfRule>
  </conditionalFormatting>
  <pageMargins left="0.11811023622047245" right="0.19685039370078741" top="0.51181102362204722" bottom="0.55118110236220474" header="0.31496062992125984" footer="0.31496062992125984"/>
  <pageSetup paperSize="9" scale="81" fitToHeight="0" orientation="landscape" r:id="rId1"/>
  <headerFooter>
    <oddHeader>&amp;RDOC-C-15  - V6</oddHead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75BCFB40-E5B4-4EBC-9368-5E98DBF355DD}">
            <x14:iconSet iconSet="3Symbols" custom="1">
              <x14:cfvo type="percent">
                <xm:f>0</xm:f>
              </x14:cfvo>
              <x14:cfvo type="num">
                <xm:f>4.0000000000000001E-3</xm:f>
              </x14:cfvo>
              <x14:cfvo type="num" gte="0">
                <xm:f>4.0000000000000001E-3</xm:f>
              </x14:cfvo>
              <x14:cfIcon iconSet="3Symbols" iconId="2"/>
              <x14:cfIcon iconSet="3Symbols" iconId="2"/>
              <x14:cfIcon iconSet="3Symbols" iconId="0"/>
            </x14:iconSet>
          </x14:cfRule>
          <xm:sqref>F15:F16</xm:sqref>
        </x14:conditionalFormatting>
        <x14:conditionalFormatting xmlns:xm="http://schemas.microsoft.com/office/excel/2006/main">
          <x14:cfRule type="iconSet" priority="1" id="{4EC80A4D-CB7C-46A1-9AAD-701A53022817}">
            <x14:iconSet iconSet="3Symbols" custom="1">
              <x14:cfvo type="percent">
                <xm:f>0</xm:f>
              </x14:cfvo>
              <x14:cfvo type="num">
                <xm:f>4.0000000000000001E-3</xm:f>
              </x14:cfvo>
              <x14:cfvo type="num" gte="0">
                <xm:f>4.0000000000000001E-3</xm:f>
              </x14:cfvo>
              <x14:cfIcon iconSet="3Symbols" iconId="2"/>
              <x14:cfIcon iconSet="3Symbols" iconId="2"/>
              <x14:cfIcon iconSet="3Symbols" iconId="0"/>
            </x14:iconSet>
          </x14:cfRule>
          <xm:sqref>H9</xm:sqref>
        </x14:conditionalFormatting>
        <x14:conditionalFormatting xmlns:xm="http://schemas.microsoft.com/office/excel/2006/main">
          <x14:cfRule type="iconSet" priority="3" id="{CF473570-E86F-4033-B8E9-C9E4C7728A9E}">
            <x14:iconSet iconSet="3Symbols" custom="1">
              <x14:cfvo type="percent">
                <xm:f>0</xm:f>
              </x14:cfvo>
              <x14:cfvo type="num">
                <xm:f>4.0000000000000001E-3</xm:f>
              </x14:cfvo>
              <x14:cfvo type="num" gte="0">
                <xm:f>4.0000000000000001E-3</xm:f>
              </x14:cfvo>
              <x14:cfIcon iconSet="3Symbols" iconId="2"/>
              <x14:cfIcon iconSet="3Symbols" iconId="2"/>
              <x14:cfIcon iconSet="3Symbols" iconId="0"/>
            </x14:iconSet>
          </x14:cfRule>
          <xm:sqref>P9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1"/>
  <sheetViews>
    <sheetView zoomScaleNormal="100" workbookViewId="0">
      <selection activeCell="I25" sqref="I25"/>
    </sheetView>
  </sheetViews>
  <sheetFormatPr baseColWidth="10" defaultColWidth="11.42578125" defaultRowHeight="15" x14ac:dyDescent="0.25"/>
  <cols>
    <col min="1" max="1" width="14.7109375" customWidth="1"/>
    <col min="2" max="2" width="9.42578125" customWidth="1"/>
    <col min="3" max="3" width="15.5703125" customWidth="1"/>
    <col min="4" max="4" width="15" customWidth="1"/>
    <col min="5" max="5" width="1.7109375" customWidth="1"/>
    <col min="6" max="7" width="11.7109375" customWidth="1"/>
    <col min="8" max="8" width="9.85546875" customWidth="1"/>
    <col min="9" max="10" width="11.7109375" customWidth="1"/>
    <col min="11" max="11" width="9.140625" customWidth="1"/>
    <col min="12" max="12" width="11.42578125" bestFit="1" customWidth="1"/>
  </cols>
  <sheetData>
    <row r="1" spans="1:13" ht="39" customHeight="1" x14ac:dyDescent="0.25">
      <c r="A1" s="85"/>
      <c r="B1" s="86"/>
      <c r="C1" s="87"/>
      <c r="D1" s="108" t="s">
        <v>28</v>
      </c>
      <c r="E1" s="108"/>
      <c r="F1" s="108"/>
      <c r="G1" s="108"/>
      <c r="H1" s="108"/>
      <c r="I1" s="108"/>
      <c r="J1" s="108"/>
      <c r="K1" s="108"/>
      <c r="L1" s="108"/>
      <c r="M1" s="59"/>
    </row>
    <row r="3" spans="1:13" ht="15" customHeight="1" x14ac:dyDescent="0.25">
      <c r="A3" s="12" t="s">
        <v>1</v>
      </c>
      <c r="B3" s="109">
        <f>'Zone RPH 1'!B3</f>
        <v>0</v>
      </c>
      <c r="C3" s="109"/>
      <c r="D3" s="109"/>
      <c r="E3" s="109"/>
      <c r="F3" s="109"/>
      <c r="G3" s="36" t="s">
        <v>4</v>
      </c>
      <c r="H3" s="12">
        <f>'Zone RPH 1'!K4</f>
        <v>0</v>
      </c>
      <c r="I3" s="8"/>
      <c r="J3" s="9"/>
      <c r="K3" s="8"/>
      <c r="L3" s="8"/>
    </row>
    <row r="4" spans="1:13" ht="15" customHeight="1" x14ac:dyDescent="0.25">
      <c r="A4" s="12" t="s">
        <v>3</v>
      </c>
      <c r="B4" s="109">
        <f>'Zone RPH 1'!B4</f>
        <v>0</v>
      </c>
      <c r="C4" s="109"/>
      <c r="D4" s="109"/>
      <c r="E4" s="109"/>
      <c r="F4" s="109"/>
      <c r="G4" s="14"/>
      <c r="H4" s="8"/>
      <c r="I4" s="8"/>
      <c r="J4" s="8"/>
      <c r="K4" s="8"/>
      <c r="L4" s="8"/>
    </row>
    <row r="5" spans="1:13" ht="15" customHeight="1" x14ac:dyDescent="0.25">
      <c r="A5" s="12" t="s">
        <v>5</v>
      </c>
      <c r="B5" s="12">
        <f>'Zone RPH 1'!B5</f>
        <v>0</v>
      </c>
      <c r="C5" s="12" t="s">
        <v>6</v>
      </c>
      <c r="D5" s="110">
        <f>'Zone RPH 1'!D5</f>
        <v>0</v>
      </c>
      <c r="E5" s="110"/>
      <c r="F5" s="110"/>
      <c r="G5" s="14"/>
      <c r="H5" s="8"/>
      <c r="I5" s="8"/>
      <c r="J5" s="8"/>
      <c r="K5" s="8"/>
      <c r="L5" s="8"/>
    </row>
    <row r="6" spans="1:13" x14ac:dyDescent="0.25">
      <c r="A6" s="13"/>
      <c r="B6" s="13"/>
      <c r="C6" s="13"/>
      <c r="D6" s="13"/>
      <c r="E6" s="13"/>
      <c r="F6" s="13"/>
      <c r="G6" s="13"/>
    </row>
    <row r="7" spans="1:13" x14ac:dyDescent="0.25">
      <c r="A7" s="104" t="s">
        <v>29</v>
      </c>
      <c r="B7" s="105"/>
      <c r="C7" s="106"/>
      <c r="D7" s="52">
        <f>'Zone RPH 1'!F15</f>
        <v>3.3E-3</v>
      </c>
      <c r="E7" s="36"/>
      <c r="F7" s="61"/>
      <c r="G7" s="13"/>
    </row>
    <row r="8" spans="1:13" x14ac:dyDescent="0.25">
      <c r="A8" s="104" t="s">
        <v>30</v>
      </c>
      <c r="B8" s="105"/>
      <c r="C8" s="106"/>
      <c r="D8" s="52">
        <f>'Zone RPH 2'!F15</f>
        <v>0</v>
      </c>
      <c r="E8" s="36"/>
      <c r="F8" s="36"/>
      <c r="G8" s="13"/>
    </row>
    <row r="9" spans="1:13" x14ac:dyDescent="0.25">
      <c r="A9" s="36"/>
      <c r="B9" s="36"/>
      <c r="C9" s="36"/>
      <c r="D9" s="29"/>
      <c r="E9" s="36"/>
      <c r="F9" s="36"/>
      <c r="G9" s="13"/>
    </row>
    <row r="10" spans="1:13" x14ac:dyDescent="0.25">
      <c r="A10" s="107" t="s">
        <v>31</v>
      </c>
      <c r="B10" s="107"/>
      <c r="C10" s="107"/>
      <c r="D10" s="52">
        <f>D7-D8</f>
        <v>3.3E-3</v>
      </c>
      <c r="E10" s="36"/>
      <c r="F10" s="36" t="s">
        <v>32</v>
      </c>
      <c r="G10" s="13"/>
    </row>
    <row r="11" spans="1:13" x14ac:dyDescent="0.25">
      <c r="A11" s="107" t="s">
        <v>33</v>
      </c>
      <c r="B11" s="107"/>
      <c r="C11" s="107"/>
      <c r="D11" s="53" t="str">
        <f>IF(AND(ROUND(D10,4)&lt;=0.1%,ROUND(D10,4)&gt;=-0.1%),"Conforme","Non conforme")</f>
        <v>Non conforme</v>
      </c>
      <c r="E11" s="36"/>
      <c r="F11" s="36"/>
      <c r="G11" s="13"/>
    </row>
  </sheetData>
  <sheetProtection algorithmName="SHA-512" hashValue="ejzx+ciFGm9cVpQNlBu2ncYj57YznGgsKxdMdQ7xt/0CcHcip+Pg5fkXWqmH0q/7r19dNNPtJSf0CyQ5/JvNPQ==" saltValue="C7TGHygLZm3P3wPiNaGaRg==" spinCount="100000" sheet="1" objects="1" scenarios="1"/>
  <mergeCells count="9">
    <mergeCell ref="A8:C8"/>
    <mergeCell ref="A10:C10"/>
    <mergeCell ref="A11:C11"/>
    <mergeCell ref="A1:C1"/>
    <mergeCell ref="D1:L1"/>
    <mergeCell ref="B3:F3"/>
    <mergeCell ref="B4:F4"/>
    <mergeCell ref="D5:F5"/>
    <mergeCell ref="A7:C7"/>
  </mergeCells>
  <conditionalFormatting sqref="D11">
    <cfRule type="cellIs" dxfId="13" priority="1" operator="equal">
      <formula>"Non conforme"</formula>
    </cfRule>
    <cfRule type="cellIs" dxfId="12" priority="2" operator="equal">
      <formula>"Conforme"</formula>
    </cfRule>
  </conditionalFormatting>
  <pageMargins left="0.11811023622047245" right="0.11811023622047245" top="0.19685039370078741" bottom="0.15748031496062992" header="0.19685039370078741" footer="0.11811023622047245"/>
  <pageSetup paperSize="9" orientation="landscape" r:id="rId1"/>
  <headerFooter>
    <oddHeader>&amp;RDOC-C-15  - V6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2"/>
  <dimension ref="A1:O16"/>
  <sheetViews>
    <sheetView tabSelected="1" topLeftCell="A7" zoomScale="120" zoomScaleNormal="120" workbookViewId="0">
      <selection activeCell="J12" sqref="J12"/>
    </sheetView>
  </sheetViews>
  <sheetFormatPr baseColWidth="10" defaultColWidth="11.42578125" defaultRowHeight="15" x14ac:dyDescent="0.25"/>
  <cols>
    <col min="1" max="1" width="13.28515625" customWidth="1"/>
    <col min="2" max="2" width="9" customWidth="1"/>
    <col min="3" max="3" width="10.5703125" customWidth="1"/>
    <col min="4" max="4" width="11.140625" customWidth="1"/>
    <col min="5" max="5" width="10.140625" customWidth="1"/>
    <col min="6" max="7" width="11.7109375" customWidth="1"/>
    <col min="8" max="8" width="9.28515625" customWidth="1"/>
    <col min="9" max="9" width="10.5703125" customWidth="1"/>
    <col min="10" max="10" width="13.7109375" customWidth="1"/>
    <col min="11" max="11" width="10.28515625" style="1" customWidth="1"/>
    <col min="12" max="12" width="11.28515625" customWidth="1"/>
    <col min="14" max="15" width="5.7109375" hidden="1" customWidth="1"/>
  </cols>
  <sheetData>
    <row r="1" spans="1:15" ht="39" customHeight="1" x14ac:dyDescent="0.25">
      <c r="A1" s="85"/>
      <c r="B1" s="86"/>
      <c r="C1" s="87"/>
      <c r="D1" s="121" t="s">
        <v>34</v>
      </c>
      <c r="E1" s="122"/>
      <c r="F1" s="122"/>
      <c r="G1" s="122"/>
      <c r="H1" s="122"/>
      <c r="I1" s="122"/>
      <c r="J1" s="122"/>
      <c r="K1" s="122"/>
      <c r="L1" s="123"/>
    </row>
    <row r="2" spans="1:15" ht="7.5" customHeight="1" x14ac:dyDescent="0.25">
      <c r="A2" s="5"/>
      <c r="B2" s="5"/>
      <c r="C2" s="5"/>
      <c r="D2" s="6"/>
      <c r="E2" s="6"/>
      <c r="F2" s="6"/>
      <c r="G2" s="6"/>
      <c r="H2" s="6"/>
      <c r="I2" s="6"/>
      <c r="J2" s="6"/>
      <c r="K2" s="6"/>
      <c r="L2" s="6"/>
    </row>
    <row r="3" spans="1:15" ht="15" customHeight="1" x14ac:dyDescent="0.25">
      <c r="A3" s="12" t="s">
        <v>1</v>
      </c>
      <c r="B3" s="88" t="s">
        <v>35</v>
      </c>
      <c r="C3" s="88"/>
      <c r="D3" s="88"/>
      <c r="E3" s="88"/>
      <c r="F3" s="88"/>
      <c r="G3" s="13"/>
      <c r="H3" s="13"/>
      <c r="I3" s="14"/>
      <c r="J3" s="15" t="s">
        <v>2</v>
      </c>
      <c r="K3" s="54">
        <v>1</v>
      </c>
      <c r="L3" s="14"/>
    </row>
    <row r="4" spans="1:15" ht="15" customHeight="1" x14ac:dyDescent="0.25">
      <c r="A4" s="12" t="s">
        <v>3</v>
      </c>
      <c r="B4" s="88" t="s">
        <v>36</v>
      </c>
      <c r="C4" s="88"/>
      <c r="D4" s="88"/>
      <c r="E4" s="88"/>
      <c r="F4" s="88"/>
      <c r="G4" s="14"/>
      <c r="H4" s="14"/>
      <c r="I4" s="14"/>
      <c r="J4" s="15" t="s">
        <v>4</v>
      </c>
      <c r="K4" s="64" t="s">
        <v>37</v>
      </c>
      <c r="L4" s="14"/>
    </row>
    <row r="5" spans="1:15" ht="15" customHeight="1" x14ac:dyDescent="0.25">
      <c r="A5" s="12" t="s">
        <v>5</v>
      </c>
      <c r="B5" s="55">
        <v>28000</v>
      </c>
      <c r="C5" s="12" t="s">
        <v>6</v>
      </c>
      <c r="D5" s="89" t="s">
        <v>38</v>
      </c>
      <c r="E5" s="89"/>
      <c r="F5" s="89"/>
      <c r="G5" s="14"/>
      <c r="H5" s="14"/>
      <c r="I5" s="14"/>
      <c r="J5" s="15" t="s">
        <v>7</v>
      </c>
      <c r="K5" s="14"/>
      <c r="L5" s="71">
        <f ca="1">TODAY()</f>
        <v>46043</v>
      </c>
    </row>
    <row r="6" spans="1:15" ht="5.25" customHeight="1" x14ac:dyDescent="0.25">
      <c r="A6" s="16"/>
      <c r="B6" s="16"/>
      <c r="C6" s="16"/>
      <c r="D6" s="17"/>
      <c r="E6" s="17"/>
      <c r="F6" s="17"/>
      <c r="G6" s="17"/>
      <c r="H6" s="17"/>
      <c r="I6" s="17"/>
      <c r="J6" s="17"/>
      <c r="K6" s="17"/>
      <c r="L6" s="17"/>
    </row>
    <row r="7" spans="1:15" x14ac:dyDescent="0.25">
      <c r="A7" s="124" t="s">
        <v>39</v>
      </c>
      <c r="B7" s="125"/>
      <c r="C7" s="125"/>
      <c r="D7" s="125"/>
      <c r="E7" s="125"/>
      <c r="F7" s="126"/>
      <c r="G7" s="74" t="s">
        <v>40</v>
      </c>
      <c r="H7" s="74"/>
      <c r="I7" s="74"/>
      <c r="J7" s="74"/>
      <c r="K7" s="74"/>
      <c r="L7" s="74"/>
    </row>
    <row r="8" spans="1:15" ht="27.75" customHeight="1" x14ac:dyDescent="0.25">
      <c r="A8" s="39" t="s">
        <v>41</v>
      </c>
      <c r="B8" s="39" t="s">
        <v>42</v>
      </c>
      <c r="C8" s="39" t="s">
        <v>43</v>
      </c>
      <c r="D8" s="39" t="s">
        <v>44</v>
      </c>
      <c r="E8" s="39" t="s">
        <v>45</v>
      </c>
      <c r="F8" s="39" t="s">
        <v>46</v>
      </c>
      <c r="G8" s="40" t="s">
        <v>41</v>
      </c>
      <c r="H8" s="40" t="s">
        <v>42</v>
      </c>
      <c r="I8" s="40" t="s">
        <v>43</v>
      </c>
      <c r="J8" s="40" t="s">
        <v>44</v>
      </c>
      <c r="K8" s="41" t="s">
        <v>45</v>
      </c>
      <c r="L8" s="41" t="s">
        <v>46</v>
      </c>
    </row>
    <row r="9" spans="1:15" x14ac:dyDescent="0.25">
      <c r="A9" s="21" t="s">
        <v>47</v>
      </c>
      <c r="B9" s="22">
        <v>1200</v>
      </c>
      <c r="C9" s="56">
        <v>620</v>
      </c>
      <c r="D9" s="23">
        <f>IF(C9="","",ABS(C9-(C$15*B9+C$16)))</f>
        <v>0.66256524981361054</v>
      </c>
      <c r="E9" s="44">
        <v>7</v>
      </c>
      <c r="F9" s="117">
        <f>MAX(D9:D12)</f>
        <v>6.5141685309470176</v>
      </c>
      <c r="G9" s="24" t="s">
        <v>48</v>
      </c>
      <c r="H9" s="25">
        <v>1200</v>
      </c>
      <c r="I9" s="56">
        <v>640</v>
      </c>
      <c r="J9" s="26">
        <f>IF(I9="","",ABS(I9-(I$15*H9+I$16)))</f>
        <v>0.99179716629373615</v>
      </c>
      <c r="K9" s="27">
        <v>7</v>
      </c>
      <c r="L9" s="120">
        <f>MAX(J9:J12)</f>
        <v>2.1812080536913072</v>
      </c>
      <c r="N9" s="69" t="str">
        <f>IF(OR(C9&gt;1300,AND(LEN(C9)&lt;&gt;3,$K$15="NON CONFORME")),"FAUX","")</f>
        <v/>
      </c>
      <c r="O9" s="69" t="str">
        <f>IF(OR(I9&gt;1300,AND(LEN(I9)&lt;&gt;3,$K$15="NON CONFORME")),"FAUX","")</f>
        <v/>
      </c>
    </row>
    <row r="10" spans="1:15" ht="15" customHeight="1" x14ac:dyDescent="0.25">
      <c r="A10" s="21" t="s">
        <v>49</v>
      </c>
      <c r="B10" s="22">
        <v>3200</v>
      </c>
      <c r="C10" s="56">
        <v>615</v>
      </c>
      <c r="D10" s="23">
        <f>IF(C10="","",ABS(C10-(C$15*B10+C$16)))</f>
        <v>3.5447427293064493</v>
      </c>
      <c r="E10" s="44">
        <v>7</v>
      </c>
      <c r="F10" s="118"/>
      <c r="G10" s="24" t="s">
        <v>50</v>
      </c>
      <c r="H10" s="25">
        <v>3200</v>
      </c>
      <c r="I10" s="56">
        <v>630</v>
      </c>
      <c r="J10" s="26">
        <f>IF(I10="","",ABS(I10-(I$15*H10+I$16)))</f>
        <v>8.9485458612898583E-2</v>
      </c>
      <c r="K10" s="27">
        <v>7</v>
      </c>
      <c r="L10" s="120"/>
      <c r="N10" s="69" t="str">
        <f t="shared" ref="N10:N13" si="0">IF(OR(C10&gt;1300,AND(LEN(C10)&lt;&gt;3,$K$15="NON CONFORME")),"FAUX","")</f>
        <v/>
      </c>
      <c r="O10" s="69" t="str">
        <f t="shared" ref="O10:O13" si="1">IF(OR(I10&gt;1300,AND(LEN(I10)&lt;&gt;3,$K$15="NON CONFORME")),"FAUX","")</f>
        <v/>
      </c>
    </row>
    <row r="11" spans="1:15" ht="15" customHeight="1" x14ac:dyDescent="0.25">
      <c r="A11" s="21" t="s">
        <v>51</v>
      </c>
      <c r="B11" s="22">
        <v>3800</v>
      </c>
      <c r="C11" s="56">
        <v>608</v>
      </c>
      <c r="D11" s="23">
        <f>IF(C11="","",ABS(C11-(C$15*B11+C$16)))</f>
        <v>1.0906040268456536</v>
      </c>
      <c r="E11" s="44">
        <v>7</v>
      </c>
      <c r="F11" s="118"/>
      <c r="G11" s="24" t="s">
        <v>52</v>
      </c>
      <c r="H11" s="25">
        <v>3800</v>
      </c>
      <c r="I11" s="56">
        <v>625</v>
      </c>
      <c r="J11" s="26">
        <f>IF(I11="","",ABS(I11-(I$15*H11+I$16)))</f>
        <v>2.1812080536913072</v>
      </c>
      <c r="K11" s="27">
        <v>7</v>
      </c>
      <c r="L11" s="120"/>
      <c r="N11" s="69" t="str">
        <f t="shared" si="0"/>
        <v/>
      </c>
      <c r="O11" s="69" t="str">
        <f t="shared" si="1"/>
        <v/>
      </c>
    </row>
    <row r="12" spans="1:15" ht="15" customHeight="1" x14ac:dyDescent="0.25">
      <c r="A12" s="21" t="s">
        <v>53</v>
      </c>
      <c r="B12" s="22">
        <v>4200</v>
      </c>
      <c r="C12" s="56">
        <v>601</v>
      </c>
      <c r="D12" s="23">
        <f>IF(C12="","",ABS(C12-(C$15*B12+C$16)))</f>
        <v>6.5141685309470176</v>
      </c>
      <c r="E12" s="44">
        <v>7</v>
      </c>
      <c r="F12" s="119"/>
      <c r="G12" s="24" t="s">
        <v>54</v>
      </c>
      <c r="H12" s="25">
        <v>4200</v>
      </c>
      <c r="I12" s="56">
        <v>625</v>
      </c>
      <c r="J12" s="26">
        <f>IF(I12="","",ABS(I12-(I$15*H12+I$16)))</f>
        <v>0.3616703952275202</v>
      </c>
      <c r="K12" s="27">
        <v>7</v>
      </c>
      <c r="L12" s="120"/>
      <c r="N12" s="69" t="str">
        <f t="shared" si="0"/>
        <v/>
      </c>
      <c r="O12" s="69" t="str">
        <f t="shared" si="1"/>
        <v/>
      </c>
    </row>
    <row r="13" spans="1:15" ht="15" customHeight="1" x14ac:dyDescent="0.25">
      <c r="A13" s="21" t="s">
        <v>55</v>
      </c>
      <c r="B13" s="22">
        <v>5700</v>
      </c>
      <c r="C13" s="56">
        <v>605</v>
      </c>
      <c r="D13" s="23">
        <f>IF(C13="","",ABS(C13-(C$15*B13+C$16)))</f>
        <v>3.3974645786726114</v>
      </c>
      <c r="E13" s="22">
        <v>12</v>
      </c>
      <c r="F13" s="42">
        <f>MAX(D13:D13)</f>
        <v>3.3974645786726114</v>
      </c>
      <c r="G13" s="24" t="s">
        <v>56</v>
      </c>
      <c r="H13" s="25">
        <v>5700</v>
      </c>
      <c r="I13" s="56">
        <v>620</v>
      </c>
      <c r="J13" s="26">
        <f>IF(I13="","",ABS(I13-(I$15*H13+I$16)))</f>
        <v>1.4615958240118516</v>
      </c>
      <c r="K13" s="27">
        <v>12</v>
      </c>
      <c r="L13" s="43">
        <f>MAX(J13:J13)</f>
        <v>1.4615958240118516</v>
      </c>
      <c r="N13" s="69" t="str">
        <f t="shared" si="0"/>
        <v/>
      </c>
      <c r="O13" s="69" t="str">
        <f t="shared" si="1"/>
        <v/>
      </c>
    </row>
    <row r="14" spans="1:15" ht="9" customHeight="1" x14ac:dyDescent="0.25">
      <c r="A14" s="28"/>
      <c r="B14" s="29"/>
      <c r="C14" s="29"/>
      <c r="D14" s="30"/>
      <c r="E14" s="29"/>
      <c r="F14" s="45"/>
      <c r="G14" s="31"/>
      <c r="H14" s="32"/>
      <c r="I14" s="32"/>
      <c r="J14" s="33"/>
      <c r="K14" s="29"/>
      <c r="L14" s="45"/>
    </row>
    <row r="15" spans="1:15" x14ac:dyDescent="0.25">
      <c r="A15" s="73" t="s">
        <v>57</v>
      </c>
      <c r="B15" s="73"/>
      <c r="C15" s="34">
        <f>SLOPE(C9:C13,B9:B13)</f>
        <v>-3.9410887397464582E-3</v>
      </c>
      <c r="D15" s="112" t="s">
        <v>58</v>
      </c>
      <c r="E15" s="112"/>
      <c r="F15" s="113">
        <f>(C15+I15)/2</f>
        <v>-4.2449664429530208E-3</v>
      </c>
      <c r="G15" s="114" t="s">
        <v>59</v>
      </c>
      <c r="H15" s="115"/>
      <c r="I15" s="35">
        <f>SLOPE(I9:I13,H9:H13)</f>
        <v>-4.5488441461595825E-3</v>
      </c>
      <c r="J15" s="58" t="s">
        <v>21</v>
      </c>
      <c r="K15" s="111" t="str">
        <f>IF(OR(C9="",C10="",C11="",C12="",I9="",I10="",I11="",I12=""),"",IF(OR(F9&gt;E9,F13&gt;E13,L9&gt;K9,L13&gt;K13),"NON CONFORME","CONFORME"))</f>
        <v>CONFORME</v>
      </c>
      <c r="L15" s="111"/>
    </row>
    <row r="16" spans="1:15" x14ac:dyDescent="0.25">
      <c r="A16" s="73" t="s">
        <v>60</v>
      </c>
      <c r="B16" s="73"/>
      <c r="C16" s="37">
        <f>INTERCEPT(C9:C13,B9:B13)</f>
        <v>624.06674123788218</v>
      </c>
      <c r="D16" s="112"/>
      <c r="E16" s="112"/>
      <c r="F16" s="113"/>
      <c r="G16" s="116" t="s">
        <v>61</v>
      </c>
      <c r="H16" s="114"/>
      <c r="I16" s="38">
        <f>INTERCEPT(I9:I13,H9:H13)</f>
        <v>644.46681580909774</v>
      </c>
      <c r="J16" s="36"/>
      <c r="K16" s="68" t="str">
        <f>IF(OR(N9&lt;&gt;"",N10&lt;&gt;"",N11&lt;&gt;"",N12&lt;&gt;"",N13&lt;&gt;"",O9&lt;&gt;"",O10&lt;&gt;"",O11&lt;&gt;"",O12&lt;&gt;"",O13&lt;&gt;""),"Problème unités?","")</f>
        <v/>
      </c>
      <c r="L16" s="29"/>
    </row>
  </sheetData>
  <sheetProtection algorithmName="SHA-512" hashValue="hhgj4aEfpq+cbwYWhIqPKKox/KHXEW/6syjYdT06ERM1t0FDgVWEb+Rn3xtgDZHG6QogavobvA4+OYTrWdrmcQ==" saltValue="l3KwQ+4ujwY+ifegMSWebA==" spinCount="100000" sheet="1" objects="1" scenarios="1"/>
  <protectedRanges>
    <protectedRange sqref="L5" name="Plage1"/>
  </protectedRanges>
  <mergeCells count="16">
    <mergeCell ref="F9:F12"/>
    <mergeCell ref="L9:L12"/>
    <mergeCell ref="D1:L1"/>
    <mergeCell ref="A7:F7"/>
    <mergeCell ref="G7:L7"/>
    <mergeCell ref="A1:C1"/>
    <mergeCell ref="B4:F4"/>
    <mergeCell ref="B3:F3"/>
    <mergeCell ref="D5:F5"/>
    <mergeCell ref="K15:L15"/>
    <mergeCell ref="A15:B15"/>
    <mergeCell ref="D15:E16"/>
    <mergeCell ref="F15:F16"/>
    <mergeCell ref="G15:H15"/>
    <mergeCell ref="A16:B16"/>
    <mergeCell ref="G16:H16"/>
  </mergeCells>
  <conditionalFormatting sqref="D10">
    <cfRule type="iconSet" priority="12">
      <iconSet iconSet="3Symbols" reverse="1">
        <cfvo type="percent" val="0"/>
        <cfvo type="num" val="$K$10"/>
        <cfvo type="num" val="$K$10"/>
      </iconSet>
    </cfRule>
  </conditionalFormatting>
  <conditionalFormatting sqref="D11">
    <cfRule type="iconSet" priority="13">
      <iconSet iconSet="3Symbols" reverse="1">
        <cfvo type="percent" val="0"/>
        <cfvo type="num" val="$K$11"/>
        <cfvo type="num" val="$K$11"/>
      </iconSet>
    </cfRule>
  </conditionalFormatting>
  <conditionalFormatting sqref="D12">
    <cfRule type="iconSet" priority="14">
      <iconSet iconSet="3Symbols" reverse="1">
        <cfvo type="percent" val="0"/>
        <cfvo type="num" val="$K$12"/>
        <cfvo type="num" val="$K$12"/>
      </iconSet>
    </cfRule>
  </conditionalFormatting>
  <conditionalFormatting sqref="D13">
    <cfRule type="iconSet" priority="15">
      <iconSet iconSet="3Symbols" reverse="1">
        <cfvo type="percent" val="0"/>
        <cfvo type="num" val="$K$13"/>
        <cfvo type="num" val="$K$13"/>
      </iconSet>
    </cfRule>
  </conditionalFormatting>
  <conditionalFormatting sqref="D14">
    <cfRule type="iconSet" priority="48">
      <iconSet iconSet="3Symbols" reverse="1">
        <cfvo type="percent" val="0"/>
        <cfvo type="num" val="#REF!"/>
        <cfvo type="num" val="#REF!"/>
      </iconSet>
    </cfRule>
  </conditionalFormatting>
  <conditionalFormatting sqref="J10">
    <cfRule type="iconSet" priority="18">
      <iconSet iconSet="3Symbols" reverse="1">
        <cfvo type="percent" val="0"/>
        <cfvo type="num" val="$K$10"/>
        <cfvo type="num" val="$K$10"/>
      </iconSet>
    </cfRule>
  </conditionalFormatting>
  <conditionalFormatting sqref="J11">
    <cfRule type="iconSet" priority="19">
      <iconSet iconSet="3Symbols" reverse="1">
        <cfvo type="percent" val="0"/>
        <cfvo type="num" val="$K$11"/>
        <cfvo type="num" val="$K$11"/>
      </iconSet>
    </cfRule>
  </conditionalFormatting>
  <conditionalFormatting sqref="J12">
    <cfRule type="iconSet" priority="20">
      <iconSet iconSet="3Symbols" reverse="1">
        <cfvo type="percent" val="0"/>
        <cfvo type="num" val="$K$12"/>
        <cfvo type="num" val="$K$12"/>
      </iconSet>
    </cfRule>
  </conditionalFormatting>
  <conditionalFormatting sqref="J13">
    <cfRule type="iconSet" priority="21">
      <iconSet iconSet="3Symbols" reverse="1">
        <cfvo type="percent" val="0"/>
        <cfvo type="num" val="$K$13"/>
        <cfvo type="num" val="$K$13"/>
      </iconSet>
    </cfRule>
  </conditionalFormatting>
  <conditionalFormatting sqref="J14">
    <cfRule type="iconSet" priority="49">
      <iconSet iconSet="3Symbols" reverse="1">
        <cfvo type="percent" val="0"/>
        <cfvo type="num" val="#REF!"/>
        <cfvo type="num" val="#REF!"/>
      </iconSet>
    </cfRule>
  </conditionalFormatting>
  <conditionalFormatting sqref="K15:L15">
    <cfRule type="cellIs" dxfId="11" priority="2" operator="equal">
      <formula>"CONFORME"</formula>
    </cfRule>
    <cfRule type="cellIs" dxfId="10" priority="3" operator="equal">
      <formula>"NON CONFORME"</formula>
    </cfRule>
  </conditionalFormatting>
  <pageMargins left="0.11811023622047245" right="0.11811023622047245" top="0.19685039370078741" bottom="0.35433070866141736" header="0.19685039370078741" footer="0"/>
  <pageSetup paperSize="9" orientation="landscape" r:id="rId1"/>
  <headerFooter>
    <oddHeader xml:space="preserve">&amp;RDOC-C-15  - V6
</oddHead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4" id="{3CDE50EC-2E1A-4241-A7DE-2D2A9CD74E74}">
            <x14:iconSet iconSet="3Symbols" custom="1">
              <x14:cfvo type="percent">
                <xm:f>0</xm:f>
              </x14:cfvo>
              <x14:cfvo type="num">
                <xm:f>$K$9</xm:f>
              </x14:cfvo>
              <x14:cfvo type="num">
                <xm:f>$K$9</xm:f>
              </x14:cfvo>
              <x14:cfIcon iconSet="3Symbols" iconId="2"/>
              <x14:cfIcon iconSet="3Symbols" iconId="1"/>
              <x14:cfIcon iconSet="3Symbols" iconId="0"/>
            </x14:iconSet>
          </x14:cfRule>
          <xm:sqref>D9</xm:sqref>
        </x14:conditionalFormatting>
        <x14:conditionalFormatting xmlns:xm="http://schemas.microsoft.com/office/excel/2006/main">
          <x14:cfRule type="iconSet" priority="7" id="{99ADB5E5-F485-41F4-82CD-106A8D1A60EA}">
            <x14:iconSet iconSet="3Symbols" custom="1">
              <x14:cfvo type="percent">
                <xm:f>0</xm:f>
              </x14:cfvo>
              <x14:cfvo type="num">
                <xm:f>7</xm:f>
              </x14:cfvo>
              <x14:cfvo type="num" gte="0">
                <xm:f>7</xm:f>
              </x14:cfvo>
              <x14:cfIcon iconSet="3Symbols" iconId="2"/>
              <x14:cfIcon iconSet="3Symbols" iconId="2"/>
              <x14:cfIcon iconSet="3Symbols" iconId="0"/>
            </x14:iconSet>
          </x14:cfRule>
          <xm:sqref>F9</xm:sqref>
        </x14:conditionalFormatting>
        <x14:conditionalFormatting xmlns:xm="http://schemas.microsoft.com/office/excel/2006/main">
          <x14:cfRule type="iconSet" priority="8" id="{D6EF551D-D032-4278-861D-1CBA691E2BF2}">
            <x14:iconSet iconSet="3Symbols" custom="1">
              <x14:cfvo type="percent">
                <xm:f>0</xm:f>
              </x14:cfvo>
              <x14:cfvo type="num">
                <xm:f>12</xm:f>
              </x14:cfvo>
              <x14:cfvo type="num" gte="0">
                <xm:f>12</xm:f>
              </x14:cfvo>
              <x14:cfIcon iconSet="3Symbols" iconId="2"/>
              <x14:cfIcon iconSet="3Symbols" iconId="2"/>
              <x14:cfIcon iconSet="3Symbols" iconId="0"/>
            </x14:iconSet>
          </x14:cfRule>
          <xm:sqref>F13</xm:sqref>
        </x14:conditionalFormatting>
        <x14:conditionalFormatting xmlns:xm="http://schemas.microsoft.com/office/excel/2006/main">
          <x14:cfRule type="iconSet" priority="23" id="{F6726D6C-976C-4852-86A3-65BB2E0EF8A5}">
            <x14:iconSet iconSet="3Symbols" custom="1">
              <x14:cfvo type="percent">
                <xm:f>0</xm:f>
              </x14:cfvo>
              <x14:cfvo type="num">
                <xm:f>$K$9</xm:f>
              </x14:cfvo>
              <x14:cfvo type="num">
                <xm:f>$K$9</xm:f>
              </x14:cfvo>
              <x14:cfIcon iconSet="3Symbols" iconId="2"/>
              <x14:cfIcon iconSet="3Symbols" iconId="1"/>
              <x14:cfIcon iconSet="3Symbols" iconId="0"/>
            </x14:iconSet>
          </x14:cfRule>
          <xm:sqref>J9</xm:sqref>
        </x14:conditionalFormatting>
        <x14:conditionalFormatting xmlns:xm="http://schemas.microsoft.com/office/excel/2006/main">
          <x14:cfRule type="iconSet" priority="10" id="{9E25CF9D-25F5-4B03-A45A-4A615D085A3A}">
            <x14:iconSet iconSet="3Symbols" custom="1">
              <x14:cfvo type="percent">
                <xm:f>0</xm:f>
              </x14:cfvo>
              <x14:cfvo type="num">
                <xm:f>7</xm:f>
              </x14:cfvo>
              <x14:cfvo type="num" gte="0">
                <xm:f>7</xm:f>
              </x14:cfvo>
              <x14:cfIcon iconSet="3Symbols" iconId="2"/>
              <x14:cfIcon iconSet="3Symbols" iconId="2"/>
              <x14:cfIcon iconSet="3Symbols" iconId="0"/>
            </x14:iconSet>
          </x14:cfRule>
          <xm:sqref>L9</xm:sqref>
        </x14:conditionalFormatting>
        <x14:conditionalFormatting xmlns:xm="http://schemas.microsoft.com/office/excel/2006/main">
          <x14:cfRule type="iconSet" priority="9" id="{3FFF1B98-A196-46D7-BC44-2EBE1779FCE5}">
            <x14:iconSet iconSet="3Symbols" custom="1">
              <x14:cfvo type="percent">
                <xm:f>0</xm:f>
              </x14:cfvo>
              <x14:cfvo type="num">
                <xm:f>12</xm:f>
              </x14:cfvo>
              <x14:cfvo type="num" gte="0">
                <xm:f>12</xm:f>
              </x14:cfvo>
              <x14:cfIcon iconSet="3Symbols" iconId="2"/>
              <x14:cfIcon iconSet="3Symbols" iconId="2"/>
              <x14:cfIcon iconSet="3Symbols" iconId="0"/>
            </x14:iconSet>
          </x14:cfRule>
          <xm:sqref>L13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3"/>
  <dimension ref="A1:O16"/>
  <sheetViews>
    <sheetView zoomScaleNormal="100" workbookViewId="0">
      <selection activeCell="D5" sqref="D5:F5"/>
    </sheetView>
  </sheetViews>
  <sheetFormatPr baseColWidth="10" defaultColWidth="11.42578125" defaultRowHeight="15" x14ac:dyDescent="0.25"/>
  <cols>
    <col min="1" max="1" width="13.28515625" customWidth="1"/>
    <col min="2" max="2" width="9" customWidth="1"/>
    <col min="3" max="3" width="10.5703125" customWidth="1"/>
    <col min="4" max="4" width="11.140625" customWidth="1"/>
    <col min="5" max="5" width="10.140625" customWidth="1"/>
    <col min="6" max="6" width="11.7109375" customWidth="1"/>
    <col min="7" max="7" width="11.85546875" customWidth="1"/>
    <col min="8" max="8" width="9.28515625" customWidth="1"/>
    <col min="9" max="9" width="10.5703125" customWidth="1"/>
    <col min="10" max="10" width="13.7109375" customWidth="1"/>
    <col min="11" max="11" width="10.28515625" style="1" customWidth="1"/>
    <col min="12" max="12" width="11.28515625" customWidth="1"/>
    <col min="14" max="15" width="5.7109375" hidden="1" customWidth="1"/>
  </cols>
  <sheetData>
    <row r="1" spans="1:15" ht="39" customHeight="1" x14ac:dyDescent="0.25">
      <c r="A1" s="85"/>
      <c r="B1" s="86"/>
      <c r="C1" s="87"/>
      <c r="D1" s="121" t="s">
        <v>34</v>
      </c>
      <c r="E1" s="122"/>
      <c r="F1" s="122"/>
      <c r="G1" s="122"/>
      <c r="H1" s="122"/>
      <c r="I1" s="122"/>
      <c r="J1" s="122"/>
      <c r="K1" s="122"/>
      <c r="L1" s="123"/>
    </row>
    <row r="2" spans="1:15" ht="7.5" customHeight="1" x14ac:dyDescent="0.25">
      <c r="A2" s="5"/>
      <c r="B2" s="5"/>
      <c r="C2" s="5"/>
      <c r="D2" s="6"/>
      <c r="E2" s="6"/>
      <c r="F2" s="6"/>
      <c r="G2" s="6"/>
      <c r="H2" s="6"/>
      <c r="I2" s="6"/>
      <c r="J2" s="6"/>
      <c r="K2" s="6"/>
      <c r="L2" s="6"/>
    </row>
    <row r="3" spans="1:15" s="13" customFormat="1" ht="15" customHeight="1" x14ac:dyDescent="0.2">
      <c r="A3" s="12" t="s">
        <v>1</v>
      </c>
      <c r="B3" s="88" t="s">
        <v>62</v>
      </c>
      <c r="C3" s="88"/>
      <c r="D3" s="88"/>
      <c r="E3" s="88"/>
      <c r="F3" s="88"/>
      <c r="I3" s="14"/>
      <c r="J3" s="15" t="s">
        <v>2</v>
      </c>
      <c r="K3" s="54">
        <v>2</v>
      </c>
      <c r="L3" s="14"/>
    </row>
    <row r="4" spans="1:15" s="13" customFormat="1" ht="15" customHeight="1" x14ac:dyDescent="0.2">
      <c r="A4" s="12" t="s">
        <v>3</v>
      </c>
      <c r="B4" s="88" t="s">
        <v>63</v>
      </c>
      <c r="C4" s="88"/>
      <c r="D4" s="88"/>
      <c r="E4" s="88"/>
      <c r="F4" s="88"/>
      <c r="G4" s="14"/>
      <c r="H4" s="14"/>
      <c r="I4" s="14"/>
      <c r="J4" s="15" t="s">
        <v>4</v>
      </c>
      <c r="K4" s="64"/>
      <c r="L4" s="14"/>
    </row>
    <row r="5" spans="1:15" s="13" customFormat="1" ht="15" customHeight="1" x14ac:dyDescent="0.2">
      <c r="A5" s="12" t="s">
        <v>5</v>
      </c>
      <c r="B5" s="55">
        <v>60730</v>
      </c>
      <c r="C5" s="12" t="s">
        <v>6</v>
      </c>
      <c r="D5" s="89" t="s">
        <v>64</v>
      </c>
      <c r="E5" s="89"/>
      <c r="F5" s="89"/>
      <c r="G5" s="14"/>
      <c r="H5" s="14"/>
      <c r="I5" s="14"/>
      <c r="J5" s="15" t="s">
        <v>7</v>
      </c>
      <c r="K5" s="14"/>
      <c r="L5" s="71">
        <f ca="1">TODAY()</f>
        <v>46043</v>
      </c>
    </row>
    <row r="6" spans="1:15" s="13" customFormat="1" ht="5.25" customHeight="1" x14ac:dyDescent="0.2">
      <c r="A6" s="16"/>
      <c r="B6" s="16"/>
      <c r="C6" s="16"/>
      <c r="D6" s="17"/>
      <c r="E6" s="17"/>
      <c r="F6" s="17"/>
      <c r="G6" s="17"/>
      <c r="H6" s="17"/>
      <c r="I6" s="17"/>
      <c r="J6" s="17"/>
      <c r="K6" s="17"/>
      <c r="L6" s="17"/>
    </row>
    <row r="7" spans="1:15" s="13" customFormat="1" ht="15" customHeight="1" x14ac:dyDescent="0.2">
      <c r="A7" s="73" t="s">
        <v>39</v>
      </c>
      <c r="B7" s="73"/>
      <c r="C7" s="73"/>
      <c r="D7" s="73"/>
      <c r="E7" s="73"/>
      <c r="F7" s="73"/>
      <c r="G7" s="74" t="s">
        <v>40</v>
      </c>
      <c r="H7" s="74"/>
      <c r="I7" s="74"/>
      <c r="J7" s="74"/>
      <c r="K7" s="74"/>
      <c r="L7" s="74"/>
    </row>
    <row r="8" spans="1:15" s="13" customFormat="1" ht="27.75" customHeight="1" x14ac:dyDescent="0.2">
      <c r="A8" s="39" t="s">
        <v>41</v>
      </c>
      <c r="B8" s="39" t="s">
        <v>42</v>
      </c>
      <c r="C8" s="39" t="s">
        <v>43</v>
      </c>
      <c r="D8" s="39" t="s">
        <v>44</v>
      </c>
      <c r="E8" s="39" t="s">
        <v>45</v>
      </c>
      <c r="F8" s="39" t="s">
        <v>46</v>
      </c>
      <c r="G8" s="40" t="s">
        <v>41</v>
      </c>
      <c r="H8" s="40" t="s">
        <v>42</v>
      </c>
      <c r="I8" s="40" t="s">
        <v>43</v>
      </c>
      <c r="J8" s="40" t="s">
        <v>44</v>
      </c>
      <c r="K8" s="41" t="s">
        <v>45</v>
      </c>
      <c r="L8" s="41" t="s">
        <v>46</v>
      </c>
    </row>
    <row r="9" spans="1:15" s="13" customFormat="1" ht="15" customHeight="1" x14ac:dyDescent="0.25">
      <c r="A9" s="21" t="s">
        <v>47</v>
      </c>
      <c r="B9" s="22">
        <v>1200</v>
      </c>
      <c r="C9" s="56">
        <v>719</v>
      </c>
      <c r="D9" s="23">
        <f>IF(C9="","",ABS(C9-(C$15*B9+C$16)))</f>
        <v>2.865958240119312</v>
      </c>
      <c r="E9" s="44">
        <v>7</v>
      </c>
      <c r="F9" s="117">
        <f>MAX(D9:D9)</f>
        <v>2.865958240119312</v>
      </c>
      <c r="G9" s="24" t="s">
        <v>48</v>
      </c>
      <c r="H9" s="25">
        <v>1200</v>
      </c>
      <c r="I9" s="56">
        <v>718</v>
      </c>
      <c r="J9" s="26">
        <f>IF(I9="","",ABS(I9-(I$15*H9+I$16)))</f>
        <v>1.4013795674869698</v>
      </c>
      <c r="K9" s="27">
        <v>7</v>
      </c>
      <c r="L9" s="120">
        <f>MAX(J9:J9)</f>
        <v>1.4013795674869698</v>
      </c>
      <c r="N9" s="69" t="str">
        <f>IF(OR(C9&gt;1300,AND(LEN(C9)&lt;&gt;3,$K$15="NON CONFORME")),"FAUX","")</f>
        <v/>
      </c>
      <c r="O9" s="69" t="str">
        <f>IF(OR(I9&gt;1300,AND(LEN(I9)&lt;&gt;3,$K$15="NON CONFORME")),"FAUX","")</f>
        <v/>
      </c>
    </row>
    <row r="10" spans="1:15" s="13" customFormat="1" ht="15" customHeight="1" x14ac:dyDescent="0.25">
      <c r="A10" s="21" t="s">
        <v>49</v>
      </c>
      <c r="B10" s="22">
        <v>3200</v>
      </c>
      <c r="C10" s="56">
        <v>710</v>
      </c>
      <c r="D10" s="23">
        <f>IF(C10="","",ABS(C10-(C$15*B10+C$16)))</f>
        <v>3.3786353467561412</v>
      </c>
      <c r="E10" s="44">
        <v>7</v>
      </c>
      <c r="F10" s="118"/>
      <c r="G10" s="24" t="s">
        <v>50</v>
      </c>
      <c r="H10" s="25">
        <v>3200</v>
      </c>
      <c r="I10" s="56">
        <v>716</v>
      </c>
      <c r="J10" s="26">
        <f>IF(I10="","",ABS(I10-(I$15*H10+I$16)))</f>
        <v>1.053131991051373</v>
      </c>
      <c r="K10" s="27">
        <v>7</v>
      </c>
      <c r="L10" s="120"/>
      <c r="N10" s="69" t="str">
        <f t="shared" ref="N10:N13" si="0">IF(OR(C10&gt;1300,AND(LEN(C10)&lt;&gt;3,$K$15="NON CONFORME")),"FAUX","")</f>
        <v/>
      </c>
      <c r="O10" s="69" t="str">
        <f t="shared" ref="O10:O13" si="1">IF(OR(I10&gt;1300,AND(LEN(I10)&lt;&gt;3,$K$15="NON CONFORME")),"FAUX","")</f>
        <v/>
      </c>
    </row>
    <row r="11" spans="1:15" s="13" customFormat="1" ht="15" customHeight="1" x14ac:dyDescent="0.25">
      <c r="A11" s="21" t="s">
        <v>51</v>
      </c>
      <c r="B11" s="22">
        <v>3800</v>
      </c>
      <c r="C11" s="56">
        <v>711</v>
      </c>
      <c r="D11" s="23">
        <f>IF(C11="","",ABS(C11-(C$15*B11+C$16)))</f>
        <v>1.5520134228187317</v>
      </c>
      <c r="E11" s="44">
        <v>7</v>
      </c>
      <c r="F11" s="118"/>
      <c r="G11" s="24" t="s">
        <v>52</v>
      </c>
      <c r="H11" s="25">
        <v>3800</v>
      </c>
      <c r="I11" s="56">
        <v>713</v>
      </c>
      <c r="J11" s="26">
        <f>IF(I11="","",ABS(I11-(I$15*H11+I$16)))</f>
        <v>1.4513422818791923</v>
      </c>
      <c r="K11" s="27">
        <v>7</v>
      </c>
      <c r="L11" s="120"/>
      <c r="N11" s="69" t="str">
        <f t="shared" si="0"/>
        <v/>
      </c>
      <c r="O11" s="69" t="str">
        <f t="shared" si="1"/>
        <v/>
      </c>
    </row>
    <row r="12" spans="1:15" s="13" customFormat="1" ht="15" customHeight="1" x14ac:dyDescent="0.25">
      <c r="A12" s="21" t="s">
        <v>53</v>
      </c>
      <c r="B12" s="22">
        <v>4200</v>
      </c>
      <c r="C12" s="56">
        <v>711</v>
      </c>
      <c r="D12" s="23">
        <f>IF(C12="","",ABS(C12-(C$15*B12+C$16)))</f>
        <v>1.0009321401938678</v>
      </c>
      <c r="E12" s="44">
        <v>7</v>
      </c>
      <c r="F12" s="119"/>
      <c r="G12" s="24" t="s">
        <v>54</v>
      </c>
      <c r="H12" s="25">
        <v>4200</v>
      </c>
      <c r="I12" s="56">
        <v>710</v>
      </c>
      <c r="J12" s="26">
        <f>IF(I12="","",ABS(I12-(I$15*H12+I$16)))</f>
        <v>4.1209917971663117</v>
      </c>
      <c r="K12" s="27">
        <v>7</v>
      </c>
      <c r="L12" s="120"/>
      <c r="N12" s="69" t="str">
        <f t="shared" si="0"/>
        <v/>
      </c>
      <c r="O12" s="69" t="str">
        <f t="shared" si="1"/>
        <v/>
      </c>
    </row>
    <row r="13" spans="1:15" s="13" customFormat="1" ht="15" customHeight="1" x14ac:dyDescent="0.25">
      <c r="A13" s="21" t="s">
        <v>55</v>
      </c>
      <c r="B13" s="22">
        <v>5700</v>
      </c>
      <c r="C13" s="56">
        <v>713</v>
      </c>
      <c r="D13" s="23">
        <f>IF(C13="","",ABS(C13-(C$15*B13+C$16)))</f>
        <v>3.0656226696495423</v>
      </c>
      <c r="E13" s="22">
        <v>12</v>
      </c>
      <c r="F13" s="42">
        <f>MAX(D10:D13)</f>
        <v>3.3786353467561412</v>
      </c>
      <c r="G13" s="24" t="s">
        <v>56</v>
      </c>
      <c r="H13" s="25">
        <v>5700</v>
      </c>
      <c r="I13" s="56">
        <v>716</v>
      </c>
      <c r="J13" s="26">
        <f>IF(I13="","",ABS(I13-(I$15*H13+I$16)))</f>
        <v>3.1178225205070476</v>
      </c>
      <c r="K13" s="27">
        <v>12</v>
      </c>
      <c r="L13" s="43">
        <f>MAX(J10:J13)</f>
        <v>4.1209917971663117</v>
      </c>
      <c r="N13" s="69" t="str">
        <f t="shared" si="0"/>
        <v/>
      </c>
      <c r="O13" s="69" t="str">
        <f t="shared" si="1"/>
        <v/>
      </c>
    </row>
    <row r="14" spans="1:15" s="13" customFormat="1" ht="9" customHeight="1" x14ac:dyDescent="0.2">
      <c r="A14" s="28"/>
      <c r="B14" s="29"/>
      <c r="C14" s="29"/>
      <c r="D14" s="30"/>
      <c r="E14" s="29"/>
      <c r="F14" s="45"/>
      <c r="G14" s="31"/>
      <c r="H14" s="32"/>
      <c r="I14" s="32"/>
      <c r="J14" s="33"/>
      <c r="K14" s="29"/>
      <c r="L14" s="45"/>
    </row>
    <row r="15" spans="1:15" s="13" customFormat="1" ht="15" customHeight="1" x14ac:dyDescent="0.2">
      <c r="A15" s="73" t="s">
        <v>57</v>
      </c>
      <c r="B15" s="73"/>
      <c r="C15" s="34">
        <f>SLOPE(C9:C13,B9:B13)</f>
        <v>-1.3777032065622669E-3</v>
      </c>
      <c r="D15" s="112" t="s">
        <v>58</v>
      </c>
      <c r="E15" s="112"/>
      <c r="F15" s="113">
        <f>(C15+I15)/2</f>
        <v>-1.1017897091722595E-3</v>
      </c>
      <c r="G15" s="114" t="s">
        <v>59</v>
      </c>
      <c r="H15" s="115"/>
      <c r="I15" s="35">
        <f>SLOPE(I9:I13,H9:H13)</f>
        <v>-8.2587621178225202E-4</v>
      </c>
      <c r="J15" s="58" t="s">
        <v>21</v>
      </c>
      <c r="K15" s="127" t="str">
        <f>IF(OR(C9="",C10="",C11="",C12="",I9="",I10="",I11="",I12=""),"",IF(OR(F9&gt;E9,F13&gt;E13,L9&gt;K9,L13&gt;K13),"NON CONFORME","CONFORME"))</f>
        <v>CONFORME</v>
      </c>
      <c r="L15" s="128"/>
    </row>
    <row r="16" spans="1:15" s="13" customFormat="1" ht="15" customHeight="1" x14ac:dyDescent="0.2">
      <c r="A16" s="73" t="s">
        <v>60</v>
      </c>
      <c r="B16" s="73"/>
      <c r="C16" s="37">
        <f>INTERCEPT(C9:C13,B9:B13)</f>
        <v>717.78728560775539</v>
      </c>
      <c r="D16" s="112"/>
      <c r="E16" s="112"/>
      <c r="F16" s="113"/>
      <c r="G16" s="116" t="s">
        <v>61</v>
      </c>
      <c r="H16" s="114"/>
      <c r="I16" s="38">
        <f>INTERCEPT(I9:I13,H9:H13)</f>
        <v>717.58967188665179</v>
      </c>
      <c r="J16" s="36"/>
      <c r="K16" s="68" t="str">
        <f>IF(OR(N9&lt;&gt;"",N10&lt;&gt;"",N11&lt;&gt;"",N12&lt;&gt;"",N13&lt;&gt;"",O9&lt;&gt;"",O10&lt;&gt;"",O11&lt;&gt;"",O12&lt;&gt;"",O13&lt;&gt;""),"Problème unités?","")</f>
        <v/>
      </c>
      <c r="L16" s="29"/>
    </row>
  </sheetData>
  <sheetProtection algorithmName="SHA-512" hashValue="GlEgs6UyZV6QZBx4cStaqU9/mLyyfA65pLQNzmyZe3ZW5vMRed0sRIsC59w6X+QtXPrdq53360Pouh8mZP7DWA==" saltValue="pvbLlVz6te49UDYkLgspaw==" spinCount="100000" sheet="1" objects="1" scenarios="1"/>
  <protectedRanges>
    <protectedRange sqref="L5" name="Plage1"/>
  </protectedRanges>
  <mergeCells count="16">
    <mergeCell ref="G7:L7"/>
    <mergeCell ref="F9:F12"/>
    <mergeCell ref="L9:L12"/>
    <mergeCell ref="A15:B15"/>
    <mergeCell ref="D15:E16"/>
    <mergeCell ref="F15:F16"/>
    <mergeCell ref="G15:H15"/>
    <mergeCell ref="A16:B16"/>
    <mergeCell ref="G16:H16"/>
    <mergeCell ref="A7:F7"/>
    <mergeCell ref="K15:L15"/>
    <mergeCell ref="A1:C1"/>
    <mergeCell ref="D1:L1"/>
    <mergeCell ref="B3:F3"/>
    <mergeCell ref="B4:F4"/>
    <mergeCell ref="D5:F5"/>
  </mergeCells>
  <conditionalFormatting sqref="K15:L15">
    <cfRule type="cellIs" dxfId="9" priority="1" operator="equal">
      <formula>"CONFORME"</formula>
    </cfRule>
    <cfRule type="cellIs" dxfId="8" priority="2" operator="equal">
      <formula>"NON CONFORME"</formula>
    </cfRule>
  </conditionalFormatting>
  <pageMargins left="0.11811023622047245" right="0.11811023622047245" top="0.35433070866141736" bottom="0.15748031496062992" header="0.11811023622047245" footer="0"/>
  <pageSetup paperSize="9" orientation="landscape" r:id="rId1"/>
  <headerFooter>
    <oddHeader>&amp;RDOC-C-15  - V6</oddHead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9" id="{92D72DAA-24A7-4226-9567-2705BD2AF84D}">
            <x14:iconSet iconSet="3Symbols" custom="1">
              <x14:cfvo type="percent">
                <xm:f>0</xm:f>
              </x14:cfvo>
              <x14:cfvo type="num">
                <xm:f>'Zone VL 1'!$K$9</xm:f>
              </x14:cfvo>
              <x14:cfvo type="num">
                <xm:f>'Zone VL 1'!$K$9</xm:f>
              </x14:cfvo>
              <x14:cfIcon iconSet="3Symbols" iconId="2"/>
              <x14:cfIcon iconSet="3Symbols" iconId="1"/>
              <x14:cfIcon iconSet="3Symbols" iconId="0"/>
            </x14:iconSet>
          </x14:cfRule>
          <xm:sqref>D9</xm:sqref>
        </x14:conditionalFormatting>
        <x14:conditionalFormatting xmlns:xm="http://schemas.microsoft.com/office/excel/2006/main">
          <x14:cfRule type="iconSet" priority="10" id="{DA8198D7-9D49-454F-80AA-66989275F804}">
            <x14:iconSet iconSet="3Symbols" reverse="1">
              <x14:cfvo type="percent">
                <xm:f>0</xm:f>
              </x14:cfvo>
              <x14:cfvo type="num">
                <xm:f>'Zone VL 1'!$K$10</xm:f>
              </x14:cfvo>
              <x14:cfvo type="num">
                <xm:f>'Zone VL 1'!$K$10</xm:f>
              </x14:cfvo>
            </x14:iconSet>
          </x14:cfRule>
          <xm:sqref>D10</xm:sqref>
        </x14:conditionalFormatting>
        <x14:conditionalFormatting xmlns:xm="http://schemas.microsoft.com/office/excel/2006/main">
          <x14:cfRule type="iconSet" priority="11" id="{68338FA3-2129-4D35-BD14-7E3FFADE88EB}">
            <x14:iconSet iconSet="3Symbols" reverse="1">
              <x14:cfvo type="percent">
                <xm:f>0</xm:f>
              </x14:cfvo>
              <x14:cfvo type="num">
                <xm:f>'Zone VL 1'!$K$11</xm:f>
              </x14:cfvo>
              <x14:cfvo type="num">
                <xm:f>'Zone VL 1'!$K$11</xm:f>
              </x14:cfvo>
            </x14:iconSet>
          </x14:cfRule>
          <xm:sqref>D11</xm:sqref>
        </x14:conditionalFormatting>
        <x14:conditionalFormatting xmlns:xm="http://schemas.microsoft.com/office/excel/2006/main">
          <x14:cfRule type="iconSet" priority="12" id="{73E1B8AE-8C78-4C8A-B08C-3A9C395820B6}">
            <x14:iconSet iconSet="3Symbols" reverse="1">
              <x14:cfvo type="percent">
                <xm:f>0</xm:f>
              </x14:cfvo>
              <x14:cfvo type="num">
                <xm:f>'Zone VL 1'!$K$12</xm:f>
              </x14:cfvo>
              <x14:cfvo type="num">
                <xm:f>'Zone VL 1'!$K$12</xm:f>
              </x14:cfvo>
            </x14:iconSet>
          </x14:cfRule>
          <xm:sqref>D12</xm:sqref>
        </x14:conditionalFormatting>
        <x14:conditionalFormatting xmlns:xm="http://schemas.microsoft.com/office/excel/2006/main">
          <x14:cfRule type="iconSet" priority="13" id="{EBD34640-100A-4745-B877-083E2F8DDB99}">
            <x14:iconSet iconSet="3Symbols" reverse="1">
              <x14:cfvo type="percent">
                <xm:f>0</xm:f>
              </x14:cfvo>
              <x14:cfvo type="num">
                <xm:f>'Zone VL 1'!$K$13</xm:f>
              </x14:cfvo>
              <x14:cfvo type="num">
                <xm:f>'Zone VL 1'!$K$13</xm:f>
              </x14:cfvo>
            </x14:iconSet>
          </x14:cfRule>
          <xm:sqref>D13</xm:sqref>
        </x14:conditionalFormatting>
        <x14:conditionalFormatting xmlns:xm="http://schemas.microsoft.com/office/excel/2006/main">
          <x14:cfRule type="iconSet" priority="20" id="{B282C8AE-293E-475A-9E3F-E0B4DCFF03AA}">
            <x14:iconSet iconSet="3Symbols" reverse="1">
              <x14:cfvo type="percent">
                <xm:f>0</xm:f>
              </x14:cfvo>
              <x14:cfvo type="num">
                <xm:f>'Zone VL 1'!#REF!</xm:f>
              </x14:cfvo>
              <x14:cfvo type="num">
                <xm:f>'Zone VL 1'!#REF!</xm:f>
              </x14:cfvo>
            </x14:iconSet>
          </x14:cfRule>
          <xm:sqref>D14</xm:sqref>
        </x14:conditionalFormatting>
        <x14:conditionalFormatting xmlns:xm="http://schemas.microsoft.com/office/excel/2006/main">
          <x14:cfRule type="iconSet" priority="6" id="{ED09178A-0D5A-4060-8FF6-9AEAEDDDFA5B}">
            <x14:iconSet iconSet="3Symbols" custom="1">
              <x14:cfvo type="percent">
                <xm:f>0</xm:f>
              </x14:cfvo>
              <x14:cfvo type="num">
                <xm:f>7</xm:f>
              </x14:cfvo>
              <x14:cfvo type="num" gte="0">
                <xm:f>7</xm:f>
              </x14:cfvo>
              <x14:cfIcon iconSet="3Symbols" iconId="2"/>
              <x14:cfIcon iconSet="3Symbols" iconId="2"/>
              <x14:cfIcon iconSet="3Symbols" iconId="0"/>
            </x14:iconSet>
          </x14:cfRule>
          <xm:sqref>F9</xm:sqref>
        </x14:conditionalFormatting>
        <x14:conditionalFormatting xmlns:xm="http://schemas.microsoft.com/office/excel/2006/main">
          <x14:cfRule type="iconSet" priority="7" id="{331C835C-7116-41B0-920F-F944F5BF6EC4}">
            <x14:iconSet iconSet="3Symbols" custom="1">
              <x14:cfvo type="percent">
                <xm:f>0</xm:f>
              </x14:cfvo>
              <x14:cfvo type="num">
                <xm:f>12</xm:f>
              </x14:cfvo>
              <x14:cfvo type="num" gte="0">
                <xm:f>12</xm:f>
              </x14:cfvo>
              <x14:cfIcon iconSet="3Symbols" iconId="2"/>
              <x14:cfIcon iconSet="3Symbols" iconId="2"/>
              <x14:cfIcon iconSet="3Symbols" iconId="0"/>
            </x14:iconSet>
          </x14:cfRule>
          <xm:sqref>F13</xm:sqref>
        </x14:conditionalFormatting>
        <x14:conditionalFormatting xmlns:xm="http://schemas.microsoft.com/office/excel/2006/main">
          <x14:cfRule type="iconSet" priority="18" id="{A43E052D-8A92-4CC9-AE7B-2277BB35A5FC}">
            <x14:iconSet iconSet="3Symbols" custom="1">
              <x14:cfvo type="percent">
                <xm:f>0</xm:f>
              </x14:cfvo>
              <x14:cfvo type="num">
                <xm:f>'Zone VL 1'!$K$9</xm:f>
              </x14:cfvo>
              <x14:cfvo type="num">
                <xm:f>'Zone VL 1'!$K$9</xm:f>
              </x14:cfvo>
              <x14:cfIcon iconSet="3Symbols" iconId="2"/>
              <x14:cfIcon iconSet="3Symbols" iconId="1"/>
              <x14:cfIcon iconSet="3Symbols" iconId="0"/>
            </x14:iconSet>
          </x14:cfRule>
          <xm:sqref>J9</xm:sqref>
        </x14:conditionalFormatting>
        <x14:conditionalFormatting xmlns:xm="http://schemas.microsoft.com/office/excel/2006/main">
          <x14:cfRule type="iconSet" priority="14" id="{106341C1-3E89-45E2-99E2-ADB7FC1297C7}">
            <x14:iconSet iconSet="3Symbols" reverse="1">
              <x14:cfvo type="percent">
                <xm:f>0</xm:f>
              </x14:cfvo>
              <x14:cfvo type="num">
                <xm:f>'Zone VL 1'!$K$10</xm:f>
              </x14:cfvo>
              <x14:cfvo type="num">
                <xm:f>'Zone VL 1'!$K$10</xm:f>
              </x14:cfvo>
            </x14:iconSet>
          </x14:cfRule>
          <xm:sqref>J10</xm:sqref>
        </x14:conditionalFormatting>
        <x14:conditionalFormatting xmlns:xm="http://schemas.microsoft.com/office/excel/2006/main">
          <x14:cfRule type="iconSet" priority="15" id="{3C1A7400-2B2C-45C5-8473-A13BE20C70D5}">
            <x14:iconSet iconSet="3Symbols" reverse="1">
              <x14:cfvo type="percent">
                <xm:f>0</xm:f>
              </x14:cfvo>
              <x14:cfvo type="num">
                <xm:f>'Zone VL 1'!$K$11</xm:f>
              </x14:cfvo>
              <x14:cfvo type="num">
                <xm:f>'Zone VL 1'!$K$11</xm:f>
              </x14:cfvo>
            </x14:iconSet>
          </x14:cfRule>
          <xm:sqref>J11</xm:sqref>
        </x14:conditionalFormatting>
        <x14:conditionalFormatting xmlns:xm="http://schemas.microsoft.com/office/excel/2006/main">
          <x14:cfRule type="iconSet" priority="16" id="{44FE69E7-AB8B-4869-BB3E-33DE818CAEC1}">
            <x14:iconSet iconSet="3Symbols" reverse="1">
              <x14:cfvo type="percent">
                <xm:f>0</xm:f>
              </x14:cfvo>
              <x14:cfvo type="num">
                <xm:f>'Zone VL 1'!$K$12</xm:f>
              </x14:cfvo>
              <x14:cfvo type="num">
                <xm:f>'Zone VL 1'!$K$12</xm:f>
              </x14:cfvo>
            </x14:iconSet>
          </x14:cfRule>
          <xm:sqref>J12</xm:sqref>
        </x14:conditionalFormatting>
        <x14:conditionalFormatting xmlns:xm="http://schemas.microsoft.com/office/excel/2006/main">
          <x14:cfRule type="iconSet" priority="17" id="{3FECBF27-C753-44F4-842B-E89CEC6F0060}">
            <x14:iconSet iconSet="3Symbols" reverse="1">
              <x14:cfvo type="percent">
                <xm:f>0</xm:f>
              </x14:cfvo>
              <x14:cfvo type="num">
                <xm:f>'Zone VL 1'!$K$13</xm:f>
              </x14:cfvo>
              <x14:cfvo type="num">
                <xm:f>'Zone VL 1'!$K$13</xm:f>
              </x14:cfvo>
            </x14:iconSet>
          </x14:cfRule>
          <xm:sqref>J13</xm:sqref>
        </x14:conditionalFormatting>
        <x14:conditionalFormatting xmlns:xm="http://schemas.microsoft.com/office/excel/2006/main">
          <x14:cfRule type="iconSet" priority="21" id="{44CF4D04-525B-4E35-9D33-FA601AFD4580}">
            <x14:iconSet iconSet="3Symbols" reverse="1">
              <x14:cfvo type="percent">
                <xm:f>0</xm:f>
              </x14:cfvo>
              <x14:cfvo type="num">
                <xm:f>'Zone VL 1'!#REF!</xm:f>
              </x14:cfvo>
              <x14:cfvo type="num">
                <xm:f>'Zone VL 1'!#REF!</xm:f>
              </x14:cfvo>
            </x14:iconSet>
          </x14:cfRule>
          <xm:sqref>J14</xm:sqref>
        </x14:conditionalFormatting>
        <x14:conditionalFormatting xmlns:xm="http://schemas.microsoft.com/office/excel/2006/main">
          <x14:cfRule type="iconSet" priority="9" id="{FED889E5-FF4B-4B28-A28A-50D0A46C040D}">
            <x14:iconSet iconSet="3Symbols" custom="1">
              <x14:cfvo type="percent">
                <xm:f>0</xm:f>
              </x14:cfvo>
              <x14:cfvo type="num">
                <xm:f>7</xm:f>
              </x14:cfvo>
              <x14:cfvo type="num" gte="0">
                <xm:f>7</xm:f>
              </x14:cfvo>
              <x14:cfIcon iconSet="3Symbols" iconId="2"/>
              <x14:cfIcon iconSet="3Symbols" iconId="2"/>
              <x14:cfIcon iconSet="3Symbols" iconId="0"/>
            </x14:iconSet>
          </x14:cfRule>
          <xm:sqref>L9</xm:sqref>
        </x14:conditionalFormatting>
        <x14:conditionalFormatting xmlns:xm="http://schemas.microsoft.com/office/excel/2006/main">
          <x14:cfRule type="iconSet" priority="8" id="{277C09DE-36F3-4310-803E-5291C1D8F96A}">
            <x14:iconSet iconSet="3Symbols" custom="1">
              <x14:cfvo type="percent">
                <xm:f>0</xm:f>
              </x14:cfvo>
              <x14:cfvo type="num">
                <xm:f>12</xm:f>
              </x14:cfvo>
              <x14:cfvo type="num" gte="0">
                <xm:f>12</xm:f>
              </x14:cfvo>
              <x14:cfIcon iconSet="3Symbols" iconId="2"/>
              <x14:cfIcon iconSet="3Symbols" iconId="2"/>
              <x14:cfIcon iconSet="3Symbols" iconId="0"/>
            </x14:iconSet>
          </x14:cfRule>
          <xm:sqref>L13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4"/>
  <dimension ref="A1:M14"/>
  <sheetViews>
    <sheetView zoomScaleNormal="100" workbookViewId="0">
      <selection activeCell="G18" sqref="G18"/>
    </sheetView>
  </sheetViews>
  <sheetFormatPr baseColWidth="10" defaultColWidth="11.42578125" defaultRowHeight="15" x14ac:dyDescent="0.25"/>
  <cols>
    <col min="1" max="1" width="14.85546875" customWidth="1"/>
    <col min="2" max="2" width="11.7109375" customWidth="1"/>
    <col min="3" max="3" width="8.85546875" customWidth="1"/>
    <col min="4" max="4" width="15" customWidth="1"/>
    <col min="5" max="5" width="1.7109375" customWidth="1"/>
    <col min="6" max="7" width="11.7109375" customWidth="1"/>
    <col min="8" max="8" width="9.85546875" customWidth="1"/>
    <col min="9" max="10" width="11.7109375" customWidth="1"/>
    <col min="11" max="11" width="9.140625" customWidth="1"/>
    <col min="12" max="12" width="8.28515625" customWidth="1"/>
  </cols>
  <sheetData>
    <row r="1" spans="1:13" ht="39" customHeight="1" x14ac:dyDescent="0.25">
      <c r="A1" s="85"/>
      <c r="B1" s="86"/>
      <c r="C1" s="87"/>
      <c r="D1" s="132" t="s">
        <v>65</v>
      </c>
      <c r="E1" s="132"/>
      <c r="F1" s="132"/>
      <c r="G1" s="132"/>
      <c r="H1" s="132"/>
      <c r="I1" s="132"/>
      <c r="J1" s="132"/>
      <c r="K1" s="132"/>
      <c r="L1" s="132"/>
      <c r="M1" s="59"/>
    </row>
    <row r="3" spans="1:13" ht="7.5" customHeight="1" x14ac:dyDescent="0.25">
      <c r="A3" s="3"/>
      <c r="B3" s="3"/>
      <c r="C3" s="3"/>
      <c r="D3" s="7"/>
      <c r="E3" s="7"/>
      <c r="F3" s="7"/>
      <c r="G3" s="7"/>
      <c r="H3" s="7"/>
      <c r="I3" s="7"/>
      <c r="J3" s="7"/>
      <c r="K3" s="7"/>
      <c r="L3" s="7"/>
    </row>
    <row r="4" spans="1:13" ht="15" customHeight="1" x14ac:dyDescent="0.25">
      <c r="A4" s="12" t="s">
        <v>1</v>
      </c>
      <c r="B4" s="109" t="str">
        <f>'Zone VL 1'!B3</f>
        <v>Muller</v>
      </c>
      <c r="C4" s="109"/>
      <c r="D4" s="109"/>
      <c r="E4" s="109"/>
      <c r="F4" s="109"/>
      <c r="G4" s="36" t="s">
        <v>4</v>
      </c>
      <c r="H4" s="12" t="str">
        <f>'Zone VL 1'!K4</f>
        <v>xxxx</v>
      </c>
      <c r="I4" s="8"/>
      <c r="J4" s="9"/>
      <c r="K4" s="8"/>
      <c r="L4" s="8"/>
    </row>
    <row r="5" spans="1:13" ht="15" customHeight="1" x14ac:dyDescent="0.25">
      <c r="A5" s="12" t="s">
        <v>3</v>
      </c>
      <c r="B5" s="109" t="str">
        <f>'Zone VL 1'!B4</f>
        <v>8 Rue Réaumur</v>
      </c>
      <c r="C5" s="109"/>
      <c r="D5" s="109"/>
      <c r="E5" s="109"/>
      <c r="F5" s="109"/>
      <c r="G5" s="8"/>
      <c r="H5" s="8"/>
      <c r="I5" s="8"/>
      <c r="J5" s="8"/>
      <c r="K5" s="8"/>
      <c r="L5" s="8"/>
    </row>
    <row r="6" spans="1:13" ht="15" customHeight="1" x14ac:dyDescent="0.25">
      <c r="A6" s="12" t="s">
        <v>5</v>
      </c>
      <c r="B6" s="12">
        <f>'Zone VL 1'!B5</f>
        <v>28000</v>
      </c>
      <c r="C6" s="12" t="s">
        <v>6</v>
      </c>
      <c r="D6" s="110" t="str">
        <f>'Zone VL 1'!D5</f>
        <v>Chartres</v>
      </c>
      <c r="E6" s="110"/>
      <c r="F6" s="110"/>
      <c r="G6" s="8"/>
      <c r="H6" s="8"/>
      <c r="I6" s="8"/>
      <c r="J6" s="8"/>
      <c r="K6" s="8"/>
      <c r="L6" s="8"/>
    </row>
    <row r="8" spans="1:13" x14ac:dyDescent="0.25">
      <c r="A8" s="104" t="s">
        <v>66</v>
      </c>
      <c r="B8" s="105"/>
      <c r="C8" s="106"/>
      <c r="D8" s="62">
        <f>'Zone VL 1'!F15</f>
        <v>-4.2449664429530208E-3</v>
      </c>
      <c r="E8" s="2"/>
      <c r="F8" s="60"/>
    </row>
    <row r="9" spans="1:13" x14ac:dyDescent="0.25">
      <c r="A9" s="104" t="s">
        <v>67</v>
      </c>
      <c r="B9" s="105"/>
      <c r="C9" s="106"/>
      <c r="D9" s="62">
        <f>'Zone VL 2'!F15</f>
        <v>-1.1017897091722595E-3</v>
      </c>
      <c r="E9" s="2"/>
      <c r="F9" s="60"/>
    </row>
    <row r="10" spans="1:13" x14ac:dyDescent="0.25">
      <c r="A10" s="36"/>
      <c r="B10" s="36"/>
      <c r="C10" s="36"/>
      <c r="D10" s="3"/>
      <c r="E10" s="2"/>
      <c r="F10" s="2"/>
    </row>
    <row r="11" spans="1:13" x14ac:dyDescent="0.25">
      <c r="A11" s="129" t="s">
        <v>68</v>
      </c>
      <c r="B11" s="130"/>
      <c r="C11" s="131"/>
      <c r="D11" s="10">
        <f>AVERAGE(D8,D9)</f>
        <v>-2.6733780760626403E-3</v>
      </c>
      <c r="E11" s="2"/>
      <c r="F11" s="2"/>
    </row>
    <row r="12" spans="1:13" x14ac:dyDescent="0.25">
      <c r="A12" s="36"/>
      <c r="B12" s="36"/>
      <c r="C12" s="36"/>
      <c r="D12" s="3"/>
      <c r="E12" s="2"/>
      <c r="F12" s="2"/>
    </row>
    <row r="13" spans="1:13" x14ac:dyDescent="0.25">
      <c r="A13" s="107" t="s">
        <v>69</v>
      </c>
      <c r="B13" s="107"/>
      <c r="C13" s="107"/>
      <c r="D13" s="10">
        <f>D8-D9</f>
        <v>-3.1431767337807611E-3</v>
      </c>
      <c r="E13" s="2"/>
      <c r="F13" s="2" t="s">
        <v>32</v>
      </c>
    </row>
    <row r="14" spans="1:13" x14ac:dyDescent="0.25">
      <c r="A14" s="107" t="s">
        <v>33</v>
      </c>
      <c r="B14" s="107"/>
      <c r="C14" s="107"/>
      <c r="D14" s="11" t="str">
        <f>IF(AND(ROUND(D13,4)&lt;=0.1%,ROUND(D13,4)&gt;=-0.1%),"Conforme","Non conforme")</f>
        <v>Non conforme</v>
      </c>
      <c r="E14" s="2"/>
      <c r="F14" s="2"/>
    </row>
  </sheetData>
  <sheetProtection algorithmName="SHA-512" hashValue="OoJZrWEuRfBuNSHHQJE3RUKbbFa9VqJjuFxkLoZ3CR3a7NxbmYQ2cFhGslz4ZDIW5bES6/aevJaxO2aPTPGQow==" saltValue="h/NWM+xM52o0kX34uPiJVw==" spinCount="100000" sheet="1" objects="1" scenarios="1"/>
  <mergeCells count="10">
    <mergeCell ref="A9:C9"/>
    <mergeCell ref="A13:C13"/>
    <mergeCell ref="A14:C14"/>
    <mergeCell ref="A1:C1"/>
    <mergeCell ref="B4:F4"/>
    <mergeCell ref="B5:F5"/>
    <mergeCell ref="D6:F6"/>
    <mergeCell ref="A8:C8"/>
    <mergeCell ref="A11:C11"/>
    <mergeCell ref="D1:L1"/>
  </mergeCells>
  <conditionalFormatting sqref="D14">
    <cfRule type="cellIs" dxfId="7" priority="1" operator="equal">
      <formula>"Non conforme"</formula>
    </cfRule>
    <cfRule type="cellIs" dxfId="6" priority="2" operator="equal">
      <formula>"Conforme"</formula>
    </cfRule>
  </conditionalFormatting>
  <pageMargins left="0.11811023622047245" right="0.11811023622047245" top="0.19685039370078741" bottom="0.35433070866141736" header="0.19685039370078741" footer="0"/>
  <pageSetup paperSize="9" orientation="landscape" r:id="rId1"/>
  <headerFooter>
    <oddHeader xml:space="preserve">&amp;RDOC-C-15  - V6
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euil5"/>
  <dimension ref="A1:O40"/>
  <sheetViews>
    <sheetView showWhiteSpace="0" topLeftCell="A10" zoomScaleNormal="100" workbookViewId="0">
      <selection activeCell="B4" sqref="B4:F4"/>
    </sheetView>
  </sheetViews>
  <sheetFormatPr baseColWidth="10" defaultColWidth="11.42578125" defaultRowHeight="14.25" x14ac:dyDescent="0.2"/>
  <cols>
    <col min="1" max="1" width="12.7109375" style="2" customWidth="1"/>
    <col min="2" max="2" width="8.85546875" style="2" customWidth="1"/>
    <col min="3" max="3" width="10" style="2" customWidth="1"/>
    <col min="4" max="4" width="11.7109375" style="2" customWidth="1"/>
    <col min="5" max="5" width="10.140625" style="2" customWidth="1"/>
    <col min="6" max="6" width="11.28515625" style="3" customWidth="1"/>
    <col min="7" max="7" width="11.7109375" style="2" customWidth="1"/>
    <col min="8" max="8" width="8.85546875" style="2" customWidth="1"/>
    <col min="9" max="9" width="10" style="2" customWidth="1"/>
    <col min="10" max="10" width="13.28515625" style="2" customWidth="1"/>
    <col min="11" max="11" width="10" style="2" customWidth="1"/>
    <col min="12" max="12" width="11.140625" style="3" customWidth="1"/>
    <col min="13" max="13" width="11.42578125" style="2"/>
    <col min="14" max="14" width="6.28515625" style="3" hidden="1" customWidth="1"/>
    <col min="15" max="15" width="6.28515625" style="2" hidden="1" customWidth="1"/>
    <col min="16" max="16384" width="11.42578125" style="2"/>
  </cols>
  <sheetData>
    <row r="1" spans="1:15" ht="40.15" customHeight="1" x14ac:dyDescent="0.2">
      <c r="A1" s="85"/>
      <c r="B1" s="86"/>
      <c r="C1" s="87"/>
      <c r="D1" s="133" t="s">
        <v>70</v>
      </c>
      <c r="E1" s="133"/>
      <c r="F1" s="133"/>
      <c r="G1" s="133"/>
      <c r="H1" s="133"/>
      <c r="I1" s="133"/>
      <c r="J1" s="133"/>
      <c r="K1" s="133"/>
      <c r="L1" s="133"/>
    </row>
    <row r="2" spans="1:15" ht="4.5" customHeight="1" x14ac:dyDescent="0.2">
      <c r="A2" s="3"/>
      <c r="B2" s="3"/>
      <c r="C2" s="3"/>
      <c r="D2" s="7"/>
      <c r="E2" s="7"/>
      <c r="F2" s="7"/>
      <c r="G2" s="7"/>
      <c r="H2" s="7"/>
      <c r="I2" s="7"/>
      <c r="J2" s="7"/>
      <c r="K2" s="7"/>
      <c r="L2" s="7"/>
    </row>
    <row r="3" spans="1:15" customFormat="1" ht="14.1" customHeight="1" x14ac:dyDescent="0.25">
      <c r="A3" s="12" t="s">
        <v>1</v>
      </c>
      <c r="B3" s="88"/>
      <c r="C3" s="88"/>
      <c r="D3" s="88"/>
      <c r="E3" s="88"/>
      <c r="F3" s="88"/>
      <c r="G3" s="13"/>
      <c r="H3" s="13"/>
      <c r="I3" s="14"/>
      <c r="J3" s="15" t="s">
        <v>2</v>
      </c>
      <c r="K3" s="54"/>
      <c r="L3" s="14"/>
    </row>
    <row r="4" spans="1:15" customFormat="1" ht="14.1" customHeight="1" x14ac:dyDescent="0.25">
      <c r="A4" s="12" t="s">
        <v>3</v>
      </c>
      <c r="B4" s="88"/>
      <c r="C4" s="88"/>
      <c r="D4" s="88"/>
      <c r="E4" s="88"/>
      <c r="F4" s="88"/>
      <c r="G4" s="14"/>
      <c r="H4" s="14"/>
      <c r="I4" s="14"/>
      <c r="J4" s="15" t="s">
        <v>4</v>
      </c>
      <c r="K4" s="54"/>
      <c r="L4" s="14"/>
    </row>
    <row r="5" spans="1:15" customFormat="1" ht="14.1" customHeight="1" x14ac:dyDescent="0.25">
      <c r="A5" s="12" t="s">
        <v>5</v>
      </c>
      <c r="B5" s="55"/>
      <c r="C5" s="12" t="s">
        <v>6</v>
      </c>
      <c r="D5" s="89"/>
      <c r="E5" s="89"/>
      <c r="F5" s="89"/>
      <c r="G5" s="14"/>
      <c r="H5" s="14"/>
      <c r="I5" s="14"/>
      <c r="J5" s="15" t="s">
        <v>7</v>
      </c>
      <c r="K5" s="14"/>
      <c r="L5" s="71">
        <f ca="1">TODAY()</f>
        <v>46043</v>
      </c>
    </row>
    <row r="6" spans="1:15" customFormat="1" ht="3.75" customHeight="1" x14ac:dyDescent="0.25">
      <c r="A6" s="16"/>
      <c r="B6" s="16"/>
      <c r="C6" s="16"/>
      <c r="D6" s="17"/>
      <c r="E6" s="17"/>
      <c r="F6" s="17"/>
      <c r="G6" s="17"/>
      <c r="H6" s="17"/>
      <c r="I6" s="17"/>
      <c r="J6" s="17"/>
      <c r="K6" s="17"/>
      <c r="L6" s="17"/>
    </row>
    <row r="7" spans="1:15" ht="12" customHeight="1" x14ac:dyDescent="0.2">
      <c r="A7" s="137" t="s">
        <v>39</v>
      </c>
      <c r="B7" s="137"/>
      <c r="C7" s="137"/>
      <c r="D7" s="137"/>
      <c r="E7" s="137"/>
      <c r="F7" s="137"/>
      <c r="G7" s="138" t="s">
        <v>40</v>
      </c>
      <c r="H7" s="138"/>
      <c r="I7" s="138"/>
      <c r="J7" s="138"/>
      <c r="K7" s="138"/>
      <c r="L7" s="138"/>
    </row>
    <row r="8" spans="1:15" ht="25.5" customHeight="1" x14ac:dyDescent="0.2">
      <c r="A8" s="39" t="s">
        <v>41</v>
      </c>
      <c r="B8" s="39" t="s">
        <v>42</v>
      </c>
      <c r="C8" s="39" t="s">
        <v>43</v>
      </c>
      <c r="D8" s="39" t="s">
        <v>44</v>
      </c>
      <c r="E8" s="39" t="s">
        <v>45</v>
      </c>
      <c r="F8" s="39" t="s">
        <v>46</v>
      </c>
      <c r="G8" s="40" t="s">
        <v>41</v>
      </c>
      <c r="H8" s="40" t="s">
        <v>42</v>
      </c>
      <c r="I8" s="40" t="s">
        <v>43</v>
      </c>
      <c r="J8" s="40" t="s">
        <v>44</v>
      </c>
      <c r="K8" s="41" t="s">
        <v>45</v>
      </c>
      <c r="L8" s="41" t="s">
        <v>46</v>
      </c>
    </row>
    <row r="9" spans="1:15" ht="14.1" customHeight="1" x14ac:dyDescent="0.2">
      <c r="A9" s="21" t="s">
        <v>47</v>
      </c>
      <c r="B9" s="22">
        <v>1800</v>
      </c>
      <c r="C9" s="56"/>
      <c r="D9" s="23" t="str">
        <f t="shared" ref="D9:D16" si="0">IF(C9="","",ABS(C9-(C$18*B9+C$19)))</f>
        <v/>
      </c>
      <c r="E9" s="22">
        <v>7</v>
      </c>
      <c r="F9" s="134">
        <f>MAX(D9:D10)</f>
        <v>0</v>
      </c>
      <c r="G9" s="24" t="s">
        <v>48</v>
      </c>
      <c r="H9" s="25">
        <v>1800</v>
      </c>
      <c r="I9" s="56"/>
      <c r="J9" s="26" t="str">
        <f t="shared" ref="J9:J16" si="1">IF(I9="","",ABS(I9-(I$18*H9+I$19)))</f>
        <v/>
      </c>
      <c r="K9" s="27">
        <v>7</v>
      </c>
      <c r="L9" s="120">
        <f>MAX(J9:J10)</f>
        <v>0</v>
      </c>
      <c r="N9" s="11" t="str">
        <f>IF(OR(C9&gt;1300,AND(LEN(C9)&lt;&gt;3,$K$15="NON CONFORME")),"FAUX","")</f>
        <v/>
      </c>
      <c r="O9" s="70" t="str">
        <f>IF(OR(I9&gt;1300,AND(LEN(I9)&lt;&gt;3,$K$15="NON CONFORME")),"FAUX","")</f>
        <v/>
      </c>
    </row>
    <row r="10" spans="1:15" ht="14.1" customHeight="1" x14ac:dyDescent="0.2">
      <c r="A10" s="21" t="s">
        <v>71</v>
      </c>
      <c r="B10" s="22">
        <v>2600</v>
      </c>
      <c r="C10" s="56"/>
      <c r="D10" s="23" t="str">
        <f t="shared" si="0"/>
        <v/>
      </c>
      <c r="E10" s="22">
        <v>7</v>
      </c>
      <c r="F10" s="135"/>
      <c r="G10" s="24" t="s">
        <v>72</v>
      </c>
      <c r="H10" s="25">
        <v>2600</v>
      </c>
      <c r="I10" s="56"/>
      <c r="J10" s="26" t="str">
        <f t="shared" si="1"/>
        <v/>
      </c>
      <c r="K10" s="27">
        <v>7</v>
      </c>
      <c r="L10" s="136"/>
      <c r="N10" s="11" t="str">
        <f t="shared" ref="N10:N16" si="2">IF(OR(C10&gt;1300,AND(LEN(C10)&lt;&gt;3,$K$15="NON CONFORME")),"FAUX","")</f>
        <v/>
      </c>
      <c r="O10" s="70" t="str">
        <f t="shared" ref="O10:O16" si="3">IF(OR(I10&gt;1300,AND(LEN(I10)&lt;&gt;3,$K$15="NON CONFORME")),"FAUX","")</f>
        <v/>
      </c>
    </row>
    <row r="11" spans="1:15" ht="14.1" customHeight="1" x14ac:dyDescent="0.2">
      <c r="A11" s="21" t="s">
        <v>49</v>
      </c>
      <c r="B11" s="22">
        <v>5000</v>
      </c>
      <c r="C11" s="56"/>
      <c r="D11" s="23" t="str">
        <f t="shared" si="0"/>
        <v/>
      </c>
      <c r="E11" s="22">
        <v>12</v>
      </c>
      <c r="F11" s="134">
        <f>MAX(D11:D16)</f>
        <v>0</v>
      </c>
      <c r="G11" s="24" t="s">
        <v>50</v>
      </c>
      <c r="H11" s="25">
        <v>5000</v>
      </c>
      <c r="I11" s="56"/>
      <c r="J11" s="26" t="str">
        <f t="shared" si="1"/>
        <v/>
      </c>
      <c r="K11" s="27">
        <v>12</v>
      </c>
      <c r="L11" s="120">
        <f>MAX(J11:J16)</f>
        <v>0</v>
      </c>
      <c r="N11" s="11" t="str">
        <f t="shared" si="2"/>
        <v/>
      </c>
      <c r="O11" s="70" t="str">
        <f t="shared" si="3"/>
        <v/>
      </c>
    </row>
    <row r="12" spans="1:15" ht="14.1" customHeight="1" x14ac:dyDescent="0.2">
      <c r="A12" s="21" t="s">
        <v>51</v>
      </c>
      <c r="B12" s="22">
        <v>6000</v>
      </c>
      <c r="C12" s="56"/>
      <c r="D12" s="23" t="str">
        <f t="shared" si="0"/>
        <v/>
      </c>
      <c r="E12" s="22">
        <v>12</v>
      </c>
      <c r="F12" s="135"/>
      <c r="G12" s="24" t="s">
        <v>52</v>
      </c>
      <c r="H12" s="25">
        <v>6000</v>
      </c>
      <c r="I12" s="56"/>
      <c r="J12" s="26" t="str">
        <f t="shared" si="1"/>
        <v/>
      </c>
      <c r="K12" s="27">
        <v>12</v>
      </c>
      <c r="L12" s="136"/>
      <c r="N12" s="11" t="str">
        <f t="shared" si="2"/>
        <v/>
      </c>
      <c r="O12" s="70" t="str">
        <f t="shared" si="3"/>
        <v/>
      </c>
    </row>
    <row r="13" spans="1:15" ht="14.1" customHeight="1" x14ac:dyDescent="0.2">
      <c r="A13" s="21" t="s">
        <v>53</v>
      </c>
      <c r="B13" s="22">
        <v>7000</v>
      </c>
      <c r="C13" s="56"/>
      <c r="D13" s="23" t="str">
        <f t="shared" si="0"/>
        <v/>
      </c>
      <c r="E13" s="22">
        <v>12</v>
      </c>
      <c r="F13" s="135"/>
      <c r="G13" s="24" t="s">
        <v>54</v>
      </c>
      <c r="H13" s="25">
        <v>7000</v>
      </c>
      <c r="I13" s="56"/>
      <c r="J13" s="26" t="str">
        <f t="shared" si="1"/>
        <v/>
      </c>
      <c r="K13" s="27">
        <v>12</v>
      </c>
      <c r="L13" s="136"/>
      <c r="N13" s="11" t="str">
        <f t="shared" si="2"/>
        <v/>
      </c>
      <c r="O13" s="70" t="str">
        <f t="shared" si="3"/>
        <v/>
      </c>
    </row>
    <row r="14" spans="1:15" ht="14.1" customHeight="1" x14ac:dyDescent="0.2">
      <c r="A14" s="21" t="s">
        <v>55</v>
      </c>
      <c r="B14" s="22">
        <v>8000</v>
      </c>
      <c r="C14" s="57"/>
      <c r="D14" s="23" t="str">
        <f t="shared" si="0"/>
        <v/>
      </c>
      <c r="E14" s="22">
        <v>12</v>
      </c>
      <c r="F14" s="135"/>
      <c r="G14" s="24" t="s">
        <v>56</v>
      </c>
      <c r="H14" s="25">
        <v>8000</v>
      </c>
      <c r="I14" s="57"/>
      <c r="J14" s="26" t="str">
        <f t="shared" si="1"/>
        <v/>
      </c>
      <c r="K14" s="27">
        <v>12</v>
      </c>
      <c r="L14" s="136"/>
      <c r="N14" s="11" t="str">
        <f t="shared" si="2"/>
        <v/>
      </c>
      <c r="O14" s="70" t="str">
        <f t="shared" si="3"/>
        <v/>
      </c>
    </row>
    <row r="15" spans="1:15" ht="14.1" customHeight="1" x14ac:dyDescent="0.2">
      <c r="A15" s="21" t="s">
        <v>73</v>
      </c>
      <c r="B15" s="22">
        <v>9000</v>
      </c>
      <c r="C15" s="57"/>
      <c r="D15" s="23" t="str">
        <f t="shared" si="0"/>
        <v/>
      </c>
      <c r="E15" s="22">
        <v>12</v>
      </c>
      <c r="F15" s="135"/>
      <c r="G15" s="24" t="s">
        <v>74</v>
      </c>
      <c r="H15" s="25">
        <v>9000</v>
      </c>
      <c r="I15" s="57"/>
      <c r="J15" s="26" t="str">
        <f t="shared" si="1"/>
        <v/>
      </c>
      <c r="K15" s="27">
        <v>12</v>
      </c>
      <c r="L15" s="136"/>
      <c r="N15" s="11" t="str">
        <f t="shared" si="2"/>
        <v/>
      </c>
      <c r="O15" s="70" t="str">
        <f t="shared" si="3"/>
        <v/>
      </c>
    </row>
    <row r="16" spans="1:15" ht="14.1" customHeight="1" x14ac:dyDescent="0.2">
      <c r="A16" s="21" t="s">
        <v>75</v>
      </c>
      <c r="B16" s="22">
        <v>10000</v>
      </c>
      <c r="C16" s="57"/>
      <c r="D16" s="23" t="str">
        <f t="shared" si="0"/>
        <v/>
      </c>
      <c r="E16" s="22">
        <v>12</v>
      </c>
      <c r="F16" s="135"/>
      <c r="G16" s="24" t="s">
        <v>76</v>
      </c>
      <c r="H16" s="25">
        <v>10000</v>
      </c>
      <c r="I16" s="57"/>
      <c r="J16" s="26" t="str">
        <f t="shared" si="1"/>
        <v/>
      </c>
      <c r="K16" s="27">
        <v>12</v>
      </c>
      <c r="L16" s="136"/>
      <c r="N16" s="11" t="str">
        <f t="shared" si="2"/>
        <v/>
      </c>
      <c r="O16" s="70" t="str">
        <f t="shared" si="3"/>
        <v/>
      </c>
    </row>
    <row r="17" spans="1:12" ht="6" customHeight="1" x14ac:dyDescent="0.2">
      <c r="A17" s="28"/>
      <c r="B17" s="29"/>
      <c r="C17" s="29"/>
      <c r="D17" s="30"/>
      <c r="E17" s="29"/>
      <c r="F17" s="14"/>
      <c r="G17" s="31"/>
      <c r="H17" s="32"/>
      <c r="I17" s="32"/>
      <c r="J17" s="33"/>
      <c r="K17" s="29"/>
      <c r="L17" s="14"/>
    </row>
    <row r="18" spans="1:12" ht="14.1" customHeight="1" x14ac:dyDescent="0.2">
      <c r="A18" s="73" t="s">
        <v>57</v>
      </c>
      <c r="B18" s="73"/>
      <c r="C18" s="34" t="e">
        <f>SLOPE(C9:C16,B9:B16)</f>
        <v>#DIV/0!</v>
      </c>
      <c r="D18" s="112" t="s">
        <v>58</v>
      </c>
      <c r="E18" s="112"/>
      <c r="F18" s="113" t="e">
        <f>(C18+I18)/2</f>
        <v>#DIV/0!</v>
      </c>
      <c r="G18" s="114" t="s">
        <v>59</v>
      </c>
      <c r="H18" s="115"/>
      <c r="I18" s="35" t="e">
        <f>SLOPE(I9:I16,H9:H16)</f>
        <v>#DIV/0!</v>
      </c>
      <c r="J18" s="58" t="s">
        <v>21</v>
      </c>
      <c r="K18" s="127" t="str">
        <f>IF(OR(C9="",C10="",C11="",C12="",C13="",C14="",I9="",I10="",I11="",I12="",I13="",I14=""),"",IF(OR(F9&gt;E9,F11&gt;E11,L9&gt;K9,L11&gt;K11),"NON CONFORME","CONFORME"))</f>
        <v/>
      </c>
      <c r="L18" s="128"/>
    </row>
    <row r="19" spans="1:12" ht="14.1" customHeight="1" x14ac:dyDescent="0.2">
      <c r="A19" s="73" t="s">
        <v>60</v>
      </c>
      <c r="B19" s="73"/>
      <c r="C19" s="37" t="e">
        <f>INTERCEPT(C9:C16,B9:B16)</f>
        <v>#DIV/0!</v>
      </c>
      <c r="D19" s="112"/>
      <c r="E19" s="112"/>
      <c r="F19" s="113"/>
      <c r="G19" s="116" t="s">
        <v>61</v>
      </c>
      <c r="H19" s="114"/>
      <c r="I19" s="38" t="e">
        <f>INTERCEPT(I9:I16,H9:H16)</f>
        <v>#DIV/0!</v>
      </c>
      <c r="J19" s="36"/>
      <c r="K19" s="68" t="str">
        <f>IF(OR(N9&lt;&gt;"",N10&lt;&gt;"",N11&lt;&gt;"",N12&lt;&gt;"",N13&lt;&gt;"",N14&lt;&gt;"",N15&lt;&gt;"",N16&lt;&gt;"",O9&lt;&gt;"",O10&lt;&gt;"",O11&lt;&gt;"",O12&lt;&gt;"",O13&lt;&gt;"",O14&lt;&gt;"",O15&lt;&gt;"",O16&lt;&gt;""),"Problème unités?","")</f>
        <v/>
      </c>
      <c r="L19" s="29"/>
    </row>
    <row r="20" spans="1:12" ht="11.25" customHeight="1" x14ac:dyDescent="0.2"/>
    <row r="40" ht="7.5" customHeight="1" x14ac:dyDescent="0.2"/>
  </sheetData>
  <sheetProtection algorithmName="SHA-512" hashValue="m8BP7Dm9RVMimaEXJT8V8kWNDTGIamvINek9p/awFdJ4UfzC7YoP4SrT2g0fZkDQuqB0HWa6FRDuLZyNODfI0Q==" saltValue="D+vnys2bXOVNyepjgpJlqw==" spinCount="100000" sheet="1" objects="1" scenarios="1"/>
  <protectedRanges>
    <protectedRange sqref="L5" name="Plage1"/>
  </protectedRanges>
  <mergeCells count="18">
    <mergeCell ref="A19:B19"/>
    <mergeCell ref="G18:H18"/>
    <mergeCell ref="G19:H19"/>
    <mergeCell ref="D18:E19"/>
    <mergeCell ref="F18:F19"/>
    <mergeCell ref="K18:L18"/>
    <mergeCell ref="D1:L1"/>
    <mergeCell ref="F9:F10"/>
    <mergeCell ref="F11:F16"/>
    <mergeCell ref="L9:L10"/>
    <mergeCell ref="L11:L16"/>
    <mergeCell ref="A7:F7"/>
    <mergeCell ref="G7:L7"/>
    <mergeCell ref="A1:C1"/>
    <mergeCell ref="B3:F3"/>
    <mergeCell ref="B4:F4"/>
    <mergeCell ref="D5:F5"/>
    <mergeCell ref="A18:B18"/>
  </mergeCells>
  <conditionalFormatting sqref="D10">
    <cfRule type="iconSet" priority="43">
      <iconSet iconSet="3Symbols" reverse="1">
        <cfvo type="percent" val="0"/>
        <cfvo type="num" val="$K$10"/>
        <cfvo type="num" val="$K$10"/>
      </iconSet>
    </cfRule>
  </conditionalFormatting>
  <conditionalFormatting sqref="D11">
    <cfRule type="iconSet" priority="44">
      <iconSet iconSet="3Symbols" reverse="1">
        <cfvo type="percent" val="0"/>
        <cfvo type="num" val="$K$11"/>
        <cfvo type="num" val="$K$11"/>
      </iconSet>
    </cfRule>
  </conditionalFormatting>
  <conditionalFormatting sqref="D12">
    <cfRule type="iconSet" priority="45">
      <iconSet iconSet="3Symbols" reverse="1">
        <cfvo type="percent" val="0"/>
        <cfvo type="num" val="$K$12"/>
        <cfvo type="num" val="$K$12"/>
      </iconSet>
    </cfRule>
  </conditionalFormatting>
  <conditionalFormatting sqref="D13">
    <cfRule type="iconSet" priority="46">
      <iconSet iconSet="3Symbols" reverse="1">
        <cfvo type="percent" val="0"/>
        <cfvo type="num" val="$K$13"/>
        <cfvo type="num" val="$K$13"/>
      </iconSet>
    </cfRule>
  </conditionalFormatting>
  <conditionalFormatting sqref="D14">
    <cfRule type="iconSet" priority="47">
      <iconSet iconSet="3Symbols" reverse="1">
        <cfvo type="percent" val="0"/>
        <cfvo type="num" val="$K$14"/>
        <cfvo type="num" val="$K$14"/>
      </iconSet>
    </cfRule>
  </conditionalFormatting>
  <conditionalFormatting sqref="D15">
    <cfRule type="iconSet" priority="48">
      <iconSet iconSet="3Symbols" reverse="1">
        <cfvo type="percent" val="0"/>
        <cfvo type="num" val="$K$15"/>
        <cfvo type="num" val="$K$15"/>
      </iconSet>
    </cfRule>
  </conditionalFormatting>
  <conditionalFormatting sqref="D16:D17">
    <cfRule type="iconSet" priority="59">
      <iconSet iconSet="3Symbols" reverse="1">
        <cfvo type="percent" val="0"/>
        <cfvo type="num" val="$K$16"/>
        <cfvo type="num" val="$K$16"/>
      </iconSet>
    </cfRule>
  </conditionalFormatting>
  <conditionalFormatting sqref="J10">
    <cfRule type="iconSet" priority="50">
      <iconSet iconSet="3Symbols" reverse="1">
        <cfvo type="percent" val="0"/>
        <cfvo type="num" val="$K$10"/>
        <cfvo type="num" val="$K$10"/>
      </iconSet>
    </cfRule>
  </conditionalFormatting>
  <conditionalFormatting sqref="J11">
    <cfRule type="iconSet" priority="51">
      <iconSet iconSet="3Symbols" reverse="1">
        <cfvo type="percent" val="0"/>
        <cfvo type="num" val="$K$11"/>
        <cfvo type="num" val="$K$11"/>
      </iconSet>
    </cfRule>
  </conditionalFormatting>
  <conditionalFormatting sqref="J12">
    <cfRule type="iconSet" priority="52">
      <iconSet iconSet="3Symbols" reverse="1">
        <cfvo type="percent" val="0"/>
        <cfvo type="num" val="$K$12"/>
        <cfvo type="num" val="$K$12"/>
      </iconSet>
    </cfRule>
  </conditionalFormatting>
  <conditionalFormatting sqref="J13">
    <cfRule type="iconSet" priority="53">
      <iconSet iconSet="3Symbols" reverse="1">
        <cfvo type="percent" val="0"/>
        <cfvo type="num" val="$K$13"/>
        <cfvo type="num" val="$K$13"/>
      </iconSet>
    </cfRule>
  </conditionalFormatting>
  <conditionalFormatting sqref="J14">
    <cfRule type="iconSet" priority="54">
      <iconSet iconSet="3Symbols" reverse="1">
        <cfvo type="percent" val="0"/>
        <cfvo type="num" val="$K$14"/>
        <cfvo type="num" val="$K$14"/>
      </iconSet>
    </cfRule>
  </conditionalFormatting>
  <conditionalFormatting sqref="J15">
    <cfRule type="iconSet" priority="55">
      <iconSet iconSet="3Symbols" reverse="1">
        <cfvo type="percent" val="0"/>
        <cfvo type="num" val="$K$15"/>
        <cfvo type="num" val="$K$15"/>
      </iconSet>
    </cfRule>
  </conditionalFormatting>
  <conditionalFormatting sqref="J16:J17">
    <cfRule type="iconSet" priority="61">
      <iconSet iconSet="3Symbols" reverse="1">
        <cfvo type="percent" val="0"/>
        <cfvo type="num" val="$K$16"/>
        <cfvo type="num" val="$K$16"/>
      </iconSet>
    </cfRule>
  </conditionalFormatting>
  <conditionalFormatting sqref="K18:L18">
    <cfRule type="cellIs" dxfId="5" priority="18" operator="equal">
      <formula>"CONFORME"</formula>
    </cfRule>
    <cfRule type="cellIs" dxfId="4" priority="19" operator="equal">
      <formula>"NON CONFORME"</formula>
    </cfRule>
  </conditionalFormatting>
  <pageMargins left="0.11811023622047245" right="0.11811023622047245" top="0.19685039370078741" bottom="0" header="0.19685039370078741" footer="0"/>
  <pageSetup paperSize="9" orientation="landscape" r:id="rId1"/>
  <headerFooter>
    <oddHeader>&amp;RDOC-C-15  - V6</oddHead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8" id="{CB14BA4B-C214-4C48-B842-4FF1333CEEC8}">
            <x14:iconSet iconSet="3Symbols" custom="1">
              <x14:cfvo type="percent">
                <xm:f>0</xm:f>
              </x14:cfvo>
              <x14:cfvo type="num">
                <xm:f>$K$9</xm:f>
              </x14:cfvo>
              <x14:cfvo type="num">
                <xm:f>$K$9</xm:f>
              </x14:cfvo>
              <x14:cfIcon iconSet="3Symbols" iconId="2"/>
              <x14:cfIcon iconSet="3Symbols" iconId="1"/>
              <x14:cfIcon iconSet="3Symbols" iconId="0"/>
            </x14:iconSet>
          </x14:cfRule>
          <xm:sqref>D9</xm:sqref>
        </x14:conditionalFormatting>
        <x14:conditionalFormatting xmlns:xm="http://schemas.microsoft.com/office/excel/2006/main">
          <x14:cfRule type="iconSet" priority="21" id="{E787169F-D2CC-410B-BF7F-22A18F8DDC2A}">
            <x14:iconSet iconSet="3Symbols" custom="1">
              <x14:cfvo type="percent">
                <xm:f>0</xm:f>
              </x14:cfvo>
              <x14:cfvo type="num">
                <xm:f>7</xm:f>
              </x14:cfvo>
              <x14:cfvo type="num" gte="0">
                <xm:f>7</xm:f>
              </x14:cfvo>
              <x14:cfIcon iconSet="3Symbols" iconId="2"/>
              <x14:cfIcon iconSet="3Symbols" iconId="2"/>
              <x14:cfIcon iconSet="3Symbols" iconId="0"/>
            </x14:iconSet>
          </x14:cfRule>
          <xm:sqref>F9</xm:sqref>
        </x14:conditionalFormatting>
        <x14:conditionalFormatting xmlns:xm="http://schemas.microsoft.com/office/excel/2006/main">
          <x14:cfRule type="iconSet" priority="22" id="{4C1084D0-ADE4-4D3F-B123-6F9EAE85A00C}">
            <x14:iconSet iconSet="3Symbols" custom="1">
              <x14:cfvo type="percent">
                <xm:f>0</xm:f>
              </x14:cfvo>
              <x14:cfvo type="num">
                <xm:f>12</xm:f>
              </x14:cfvo>
              <x14:cfvo type="num" gte="0">
                <xm:f>12</xm:f>
              </x14:cfvo>
              <x14:cfIcon iconSet="3Symbols" iconId="2"/>
              <x14:cfIcon iconSet="3Symbols" iconId="2"/>
              <x14:cfIcon iconSet="3Symbols" iconId="0"/>
            </x14:iconSet>
          </x14:cfRule>
          <xm:sqref>F11</xm:sqref>
        </x14:conditionalFormatting>
        <x14:conditionalFormatting xmlns:xm="http://schemas.microsoft.com/office/excel/2006/main">
          <x14:cfRule type="iconSet" priority="57" id="{70AC29F2-1CA4-4FE1-8345-389A53F801C5}">
            <x14:iconSet iconSet="3Symbols" custom="1">
              <x14:cfvo type="percent">
                <xm:f>0</xm:f>
              </x14:cfvo>
              <x14:cfvo type="num">
                <xm:f>$K$9</xm:f>
              </x14:cfvo>
              <x14:cfvo type="num">
                <xm:f>$K$9</xm:f>
              </x14:cfvo>
              <x14:cfIcon iconSet="3Symbols" iconId="2"/>
              <x14:cfIcon iconSet="3Symbols" iconId="1"/>
              <x14:cfIcon iconSet="3Symbols" iconId="0"/>
            </x14:iconSet>
          </x14:cfRule>
          <xm:sqref>J9</xm:sqref>
        </x14:conditionalFormatting>
        <x14:conditionalFormatting xmlns:xm="http://schemas.microsoft.com/office/excel/2006/main">
          <x14:cfRule type="iconSet" priority="25" id="{C62A15DD-9242-4CB0-B2E7-B9724621E726}">
            <x14:iconSet iconSet="3Symbols" custom="1">
              <x14:cfvo type="percent">
                <xm:f>0</xm:f>
              </x14:cfvo>
              <x14:cfvo type="num">
                <xm:f>7</xm:f>
              </x14:cfvo>
              <x14:cfvo type="num" gte="0">
                <xm:f>7</xm:f>
              </x14:cfvo>
              <x14:cfIcon iconSet="3Symbols" iconId="2"/>
              <x14:cfIcon iconSet="3Symbols" iconId="2"/>
              <x14:cfIcon iconSet="3Symbols" iconId="0"/>
            </x14:iconSet>
          </x14:cfRule>
          <xm:sqref>L9</xm:sqref>
        </x14:conditionalFormatting>
        <x14:conditionalFormatting xmlns:xm="http://schemas.microsoft.com/office/excel/2006/main">
          <x14:cfRule type="iconSet" priority="23" id="{F35A0D2B-A609-47CE-9C83-64D859C1D8C3}">
            <x14:iconSet iconSet="3Symbols" custom="1">
              <x14:cfvo type="percent">
                <xm:f>0</xm:f>
              </x14:cfvo>
              <x14:cfvo type="num">
                <xm:f>12</xm:f>
              </x14:cfvo>
              <x14:cfvo type="num" gte="0">
                <xm:f>12</xm:f>
              </x14:cfvo>
              <x14:cfIcon iconSet="3Symbols" iconId="2"/>
              <x14:cfIcon iconSet="3Symbols" iconId="2"/>
              <x14:cfIcon iconSet="3Symbols" iconId="0"/>
            </x14:iconSet>
          </x14:cfRule>
          <xm:sqref>L11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euil6"/>
  <dimension ref="A1:Q40"/>
  <sheetViews>
    <sheetView zoomScaleNormal="100" workbookViewId="0">
      <selection activeCell="D5" sqref="D5:F5"/>
    </sheetView>
  </sheetViews>
  <sheetFormatPr baseColWidth="10" defaultColWidth="11.42578125" defaultRowHeight="14.25" x14ac:dyDescent="0.2"/>
  <cols>
    <col min="1" max="1" width="13" style="2" customWidth="1"/>
    <col min="2" max="2" width="8.85546875" style="2" customWidth="1"/>
    <col min="3" max="3" width="10" style="2" customWidth="1"/>
    <col min="4" max="4" width="11.7109375" style="2" customWidth="1"/>
    <col min="5" max="5" width="10.140625" style="2" customWidth="1"/>
    <col min="6" max="6" width="11.28515625" style="3" customWidth="1"/>
    <col min="7" max="7" width="11.42578125" style="2" customWidth="1"/>
    <col min="8" max="8" width="8.85546875" style="2" customWidth="1"/>
    <col min="9" max="9" width="10" style="2" customWidth="1"/>
    <col min="10" max="10" width="13.5703125" style="2" customWidth="1"/>
    <col min="11" max="11" width="10.140625" style="2" customWidth="1"/>
    <col min="12" max="12" width="11" style="3" customWidth="1"/>
    <col min="13" max="13" width="11.42578125" style="2"/>
    <col min="14" max="14" width="6.28515625" style="3" hidden="1" customWidth="1"/>
    <col min="15" max="15" width="6.28515625" style="2" hidden="1" customWidth="1"/>
    <col min="16" max="16384" width="11.42578125" style="2"/>
  </cols>
  <sheetData>
    <row r="1" spans="1:17" ht="39.6" customHeight="1" x14ac:dyDescent="0.2">
      <c r="A1" s="85"/>
      <c r="B1" s="86"/>
      <c r="C1" s="87"/>
      <c r="D1" s="133" t="s">
        <v>70</v>
      </c>
      <c r="E1" s="133"/>
      <c r="F1" s="133"/>
      <c r="G1" s="133"/>
      <c r="H1" s="133"/>
      <c r="I1" s="133"/>
      <c r="J1" s="133"/>
      <c r="K1" s="133"/>
      <c r="L1" s="133"/>
    </row>
    <row r="2" spans="1:17" ht="4.5" customHeight="1" x14ac:dyDescent="0.2">
      <c r="A2" s="3"/>
      <c r="B2" s="3"/>
      <c r="C2" s="3"/>
      <c r="D2" s="7"/>
      <c r="E2" s="7"/>
      <c r="F2" s="7"/>
      <c r="G2" s="7"/>
      <c r="H2" s="7"/>
      <c r="I2" s="7"/>
      <c r="J2" s="7"/>
      <c r="K2" s="7"/>
      <c r="L2" s="7"/>
    </row>
    <row r="3" spans="1:17" customFormat="1" ht="14.1" customHeight="1" x14ac:dyDescent="0.25">
      <c r="A3" s="12" t="s">
        <v>1</v>
      </c>
      <c r="B3" s="88"/>
      <c r="C3" s="88"/>
      <c r="D3" s="88"/>
      <c r="E3" s="88"/>
      <c r="F3" s="88"/>
      <c r="G3" s="13"/>
      <c r="H3" s="13"/>
      <c r="I3" s="14"/>
      <c r="J3" s="15" t="s">
        <v>2</v>
      </c>
      <c r="K3" s="54"/>
      <c r="L3" s="14"/>
    </row>
    <row r="4" spans="1:17" customFormat="1" ht="14.1" customHeight="1" x14ac:dyDescent="0.25">
      <c r="A4" s="12" t="s">
        <v>3</v>
      </c>
      <c r="B4" s="88"/>
      <c r="C4" s="88"/>
      <c r="D4" s="88"/>
      <c r="E4" s="88"/>
      <c r="F4" s="88"/>
      <c r="G4" s="14"/>
      <c r="H4" s="14"/>
      <c r="I4" s="14"/>
      <c r="J4" s="15" t="s">
        <v>4</v>
      </c>
      <c r="K4" s="64"/>
      <c r="L4" s="14"/>
    </row>
    <row r="5" spans="1:17" customFormat="1" ht="14.1" customHeight="1" x14ac:dyDescent="0.25">
      <c r="A5" s="12" t="s">
        <v>5</v>
      </c>
      <c r="B5" s="55"/>
      <c r="C5" s="12" t="s">
        <v>6</v>
      </c>
      <c r="D5" s="89"/>
      <c r="E5" s="89"/>
      <c r="F5" s="89"/>
      <c r="G5" s="14"/>
      <c r="H5" s="14"/>
      <c r="I5" s="14"/>
      <c r="J5" s="15" t="s">
        <v>7</v>
      </c>
      <c r="K5" s="14"/>
      <c r="L5" s="71">
        <f ca="1">TODAY()</f>
        <v>46043</v>
      </c>
    </row>
    <row r="6" spans="1:17" customFormat="1" ht="3.75" customHeight="1" x14ac:dyDescent="0.25">
      <c r="A6" s="16"/>
      <c r="B6" s="16"/>
      <c r="C6" s="16"/>
      <c r="D6" s="17"/>
      <c r="E6" s="17"/>
      <c r="F6" s="17"/>
      <c r="G6" s="17"/>
      <c r="H6" s="17"/>
      <c r="I6" s="17"/>
      <c r="J6" s="17"/>
      <c r="K6" s="17"/>
      <c r="L6" s="17"/>
    </row>
    <row r="7" spans="1:17" ht="12" customHeight="1" x14ac:dyDescent="0.2">
      <c r="A7" s="137" t="s">
        <v>39</v>
      </c>
      <c r="B7" s="137"/>
      <c r="C7" s="137"/>
      <c r="D7" s="137"/>
      <c r="E7" s="137"/>
      <c r="F7" s="137"/>
      <c r="G7" s="138" t="s">
        <v>40</v>
      </c>
      <c r="H7" s="138"/>
      <c r="I7" s="138"/>
      <c r="J7" s="138"/>
      <c r="K7" s="138"/>
      <c r="L7" s="138"/>
    </row>
    <row r="8" spans="1:17" ht="25.5" customHeight="1" x14ac:dyDescent="0.2">
      <c r="A8" s="39" t="s">
        <v>41</v>
      </c>
      <c r="B8" s="39" t="s">
        <v>42</v>
      </c>
      <c r="C8" s="39" t="s">
        <v>43</v>
      </c>
      <c r="D8" s="39" t="s">
        <v>44</v>
      </c>
      <c r="E8" s="39" t="s">
        <v>45</v>
      </c>
      <c r="F8" s="39" t="s">
        <v>46</v>
      </c>
      <c r="G8" s="40" t="s">
        <v>41</v>
      </c>
      <c r="H8" s="40" t="s">
        <v>42</v>
      </c>
      <c r="I8" s="40" t="s">
        <v>43</v>
      </c>
      <c r="J8" s="40" t="s">
        <v>44</v>
      </c>
      <c r="K8" s="41" t="s">
        <v>45</v>
      </c>
      <c r="L8" s="41" t="s">
        <v>46</v>
      </c>
    </row>
    <row r="9" spans="1:17" ht="14.1" customHeight="1" x14ac:dyDescent="0.2">
      <c r="A9" s="21" t="s">
        <v>47</v>
      </c>
      <c r="B9" s="22">
        <v>1800</v>
      </c>
      <c r="C9" s="56"/>
      <c r="D9" s="23" t="str">
        <f t="shared" ref="D9:D16" si="0">IF(C9="","",ABS(C9-(C$18*B9+C$19)))</f>
        <v/>
      </c>
      <c r="E9" s="22">
        <v>7</v>
      </c>
      <c r="F9" s="134">
        <f>MAX(D9:D10)</f>
        <v>0</v>
      </c>
      <c r="G9" s="24" t="s">
        <v>48</v>
      </c>
      <c r="H9" s="25">
        <v>1800</v>
      </c>
      <c r="I9" s="56"/>
      <c r="J9" s="26" t="str">
        <f t="shared" ref="J9:J16" si="1">IF(I9="","",ABS(I9-(I$18*H9+I$19)))</f>
        <v/>
      </c>
      <c r="K9" s="27">
        <v>7</v>
      </c>
      <c r="L9" s="120">
        <f>MAX(J9:J10)</f>
        <v>0</v>
      </c>
      <c r="N9" s="11" t="str">
        <f>IF(OR(C9&gt;1300,AND(LEN(C9)&lt;&gt;3,$K$15="NON CONFORME")),"FAUX","")</f>
        <v/>
      </c>
      <c r="O9" s="70" t="str">
        <f>IF(OR(I9&gt;1300,AND(LEN(I9)&lt;&gt;3,$K$15="NON CONFORME")),"FAUX","")</f>
        <v/>
      </c>
    </row>
    <row r="10" spans="1:17" ht="14.1" customHeight="1" x14ac:dyDescent="0.2">
      <c r="A10" s="21" t="s">
        <v>71</v>
      </c>
      <c r="B10" s="22">
        <v>2600</v>
      </c>
      <c r="C10" s="56"/>
      <c r="D10" s="23" t="str">
        <f t="shared" si="0"/>
        <v/>
      </c>
      <c r="E10" s="22">
        <v>7</v>
      </c>
      <c r="F10" s="135"/>
      <c r="G10" s="24" t="s">
        <v>72</v>
      </c>
      <c r="H10" s="25">
        <v>2600</v>
      </c>
      <c r="I10" s="56"/>
      <c r="J10" s="26" t="str">
        <f t="shared" si="1"/>
        <v/>
      </c>
      <c r="K10" s="27">
        <v>7</v>
      </c>
      <c r="L10" s="136"/>
      <c r="N10" s="11" t="str">
        <f t="shared" ref="N10:N16" si="2">IF(OR(C10&gt;1300,AND(LEN(C10)&lt;&gt;3,$K$15="NON CONFORME")),"FAUX","")</f>
        <v/>
      </c>
      <c r="O10" s="70" t="str">
        <f t="shared" ref="O10:O16" si="3">IF(OR(I10&gt;1300,AND(LEN(I10)&lt;&gt;3,$K$15="NON CONFORME")),"FAUX","")</f>
        <v/>
      </c>
    </row>
    <row r="11" spans="1:17" ht="14.1" customHeight="1" x14ac:dyDescent="0.2">
      <c r="A11" s="21" t="s">
        <v>49</v>
      </c>
      <c r="B11" s="22">
        <v>5000</v>
      </c>
      <c r="C11" s="56"/>
      <c r="D11" s="23" t="str">
        <f t="shared" si="0"/>
        <v/>
      </c>
      <c r="E11" s="22">
        <v>12</v>
      </c>
      <c r="F11" s="134">
        <f>MAX(D11:D16)</f>
        <v>0</v>
      </c>
      <c r="G11" s="24" t="s">
        <v>50</v>
      </c>
      <c r="H11" s="25">
        <v>5000</v>
      </c>
      <c r="I11" s="56"/>
      <c r="J11" s="26" t="str">
        <f t="shared" si="1"/>
        <v/>
      </c>
      <c r="K11" s="27">
        <v>12</v>
      </c>
      <c r="L11" s="120">
        <f>MAX(J11:J16)</f>
        <v>0</v>
      </c>
      <c r="N11" s="11" t="str">
        <f t="shared" si="2"/>
        <v/>
      </c>
      <c r="O11" s="70" t="str">
        <f t="shared" si="3"/>
        <v/>
      </c>
    </row>
    <row r="12" spans="1:17" ht="14.1" customHeight="1" x14ac:dyDescent="0.2">
      <c r="A12" s="21" t="s">
        <v>51</v>
      </c>
      <c r="B12" s="22">
        <v>6000</v>
      </c>
      <c r="C12" s="56"/>
      <c r="D12" s="23" t="str">
        <f t="shared" si="0"/>
        <v/>
      </c>
      <c r="E12" s="22">
        <v>12</v>
      </c>
      <c r="F12" s="135"/>
      <c r="G12" s="24" t="s">
        <v>52</v>
      </c>
      <c r="H12" s="25">
        <v>6000</v>
      </c>
      <c r="I12" s="56"/>
      <c r="J12" s="26" t="str">
        <f t="shared" si="1"/>
        <v/>
      </c>
      <c r="K12" s="27">
        <v>12</v>
      </c>
      <c r="L12" s="136"/>
      <c r="N12" s="11" t="str">
        <f t="shared" si="2"/>
        <v/>
      </c>
      <c r="O12" s="70" t="str">
        <f t="shared" si="3"/>
        <v/>
      </c>
    </row>
    <row r="13" spans="1:17" ht="14.1" customHeight="1" x14ac:dyDescent="0.2">
      <c r="A13" s="21" t="s">
        <v>53</v>
      </c>
      <c r="B13" s="22">
        <v>7000</v>
      </c>
      <c r="C13" s="56"/>
      <c r="D13" s="23" t="str">
        <f t="shared" si="0"/>
        <v/>
      </c>
      <c r="E13" s="22">
        <v>12</v>
      </c>
      <c r="F13" s="135"/>
      <c r="G13" s="24" t="s">
        <v>54</v>
      </c>
      <c r="H13" s="25">
        <v>7000</v>
      </c>
      <c r="I13" s="56"/>
      <c r="J13" s="26" t="str">
        <f t="shared" si="1"/>
        <v/>
      </c>
      <c r="K13" s="27">
        <v>12</v>
      </c>
      <c r="L13" s="136"/>
      <c r="N13" s="11" t="str">
        <f t="shared" si="2"/>
        <v/>
      </c>
      <c r="O13" s="70" t="str">
        <f t="shared" si="3"/>
        <v/>
      </c>
    </row>
    <row r="14" spans="1:17" ht="14.1" customHeight="1" x14ac:dyDescent="0.2">
      <c r="A14" s="21" t="s">
        <v>55</v>
      </c>
      <c r="B14" s="22">
        <v>8000</v>
      </c>
      <c r="C14" s="57"/>
      <c r="D14" s="23" t="str">
        <f t="shared" si="0"/>
        <v/>
      </c>
      <c r="E14" s="22">
        <v>12</v>
      </c>
      <c r="F14" s="135"/>
      <c r="G14" s="24" t="s">
        <v>56</v>
      </c>
      <c r="H14" s="25">
        <v>8000</v>
      </c>
      <c r="I14" s="57"/>
      <c r="J14" s="26" t="str">
        <f t="shared" si="1"/>
        <v/>
      </c>
      <c r="K14" s="27">
        <v>12</v>
      </c>
      <c r="L14" s="136"/>
      <c r="N14" s="11" t="str">
        <f t="shared" si="2"/>
        <v/>
      </c>
      <c r="O14" s="70" t="str">
        <f t="shared" si="3"/>
        <v/>
      </c>
    </row>
    <row r="15" spans="1:17" ht="14.1" customHeight="1" x14ac:dyDescent="0.2">
      <c r="A15" s="21" t="s">
        <v>73</v>
      </c>
      <c r="B15" s="22">
        <v>9000</v>
      </c>
      <c r="C15" s="57"/>
      <c r="D15" s="23" t="str">
        <f t="shared" si="0"/>
        <v/>
      </c>
      <c r="E15" s="22">
        <v>12</v>
      </c>
      <c r="F15" s="135"/>
      <c r="G15" s="24" t="s">
        <v>74</v>
      </c>
      <c r="H15" s="25">
        <v>9000</v>
      </c>
      <c r="I15" s="57"/>
      <c r="J15" s="26" t="str">
        <f t="shared" si="1"/>
        <v/>
      </c>
      <c r="K15" s="27">
        <v>12</v>
      </c>
      <c r="L15" s="136"/>
      <c r="N15" s="11" t="str">
        <f t="shared" si="2"/>
        <v/>
      </c>
      <c r="O15" s="70" t="str">
        <f t="shared" si="3"/>
        <v/>
      </c>
    </row>
    <row r="16" spans="1:17" ht="14.1" customHeight="1" x14ac:dyDescent="0.2">
      <c r="A16" s="21" t="s">
        <v>75</v>
      </c>
      <c r="B16" s="22">
        <v>10000</v>
      </c>
      <c r="C16" s="57"/>
      <c r="D16" s="23" t="str">
        <f t="shared" si="0"/>
        <v/>
      </c>
      <c r="E16" s="22">
        <v>12</v>
      </c>
      <c r="F16" s="135"/>
      <c r="G16" s="24" t="s">
        <v>76</v>
      </c>
      <c r="H16" s="25">
        <v>10000</v>
      </c>
      <c r="I16" s="57"/>
      <c r="J16" s="26" t="str">
        <f t="shared" si="1"/>
        <v/>
      </c>
      <c r="K16" s="27">
        <v>12</v>
      </c>
      <c r="L16" s="136"/>
      <c r="N16" s="11" t="str">
        <f t="shared" si="2"/>
        <v/>
      </c>
      <c r="O16" s="70" t="str">
        <f t="shared" si="3"/>
        <v/>
      </c>
      <c r="Q16" s="36"/>
    </row>
    <row r="17" spans="1:12" ht="6" customHeight="1" x14ac:dyDescent="0.2">
      <c r="A17" s="28"/>
      <c r="B17" s="29"/>
      <c r="C17" s="29"/>
      <c r="D17" s="30"/>
      <c r="E17" s="29"/>
      <c r="F17" s="14"/>
      <c r="G17" s="31"/>
      <c r="H17" s="32"/>
      <c r="I17" s="32"/>
      <c r="J17" s="33"/>
      <c r="K17" s="29"/>
      <c r="L17" s="14"/>
    </row>
    <row r="18" spans="1:12" ht="14.1" customHeight="1" x14ac:dyDescent="0.2">
      <c r="A18" s="73" t="s">
        <v>57</v>
      </c>
      <c r="B18" s="73"/>
      <c r="C18" s="34" t="e">
        <f>SLOPE(C9:C16,B9:B16)</f>
        <v>#DIV/0!</v>
      </c>
      <c r="D18" s="112" t="s">
        <v>58</v>
      </c>
      <c r="E18" s="112"/>
      <c r="F18" s="113" t="e">
        <f>(C18+I18)/2</f>
        <v>#DIV/0!</v>
      </c>
      <c r="G18" s="114" t="s">
        <v>59</v>
      </c>
      <c r="H18" s="115"/>
      <c r="I18" s="35" t="e">
        <f>SLOPE(I9:I16,H9:H16)</f>
        <v>#DIV/0!</v>
      </c>
      <c r="J18" s="58" t="s">
        <v>21</v>
      </c>
      <c r="K18" s="127" t="str">
        <f>IF(OR(C9="",C10="",C11="",C12="",C13="",C14="",I9="",I10="",I11="",I12="",I13="",I14=""),"",IF(OR(F9&gt;E9,F11&gt;E11,L9&gt;K9,L11&gt;K11),"NON CONFORME","CONFORME"))</f>
        <v/>
      </c>
      <c r="L18" s="128"/>
    </row>
    <row r="19" spans="1:12" ht="14.1" customHeight="1" x14ac:dyDescent="0.2">
      <c r="A19" s="73" t="s">
        <v>60</v>
      </c>
      <c r="B19" s="73"/>
      <c r="C19" s="37" t="e">
        <f>INTERCEPT(C9:C16,B9:B16)</f>
        <v>#DIV/0!</v>
      </c>
      <c r="D19" s="112"/>
      <c r="E19" s="112"/>
      <c r="F19" s="113"/>
      <c r="G19" s="116" t="s">
        <v>61</v>
      </c>
      <c r="H19" s="114"/>
      <c r="I19" s="38" t="e">
        <f>INTERCEPT(I9:I16,H9:H16)</f>
        <v>#DIV/0!</v>
      </c>
      <c r="J19" s="36"/>
      <c r="K19" s="68" t="str">
        <f>IF(OR(N9&lt;&gt;"",N10&lt;&gt;"",N11&lt;&gt;"",N12&lt;&gt;"",N13&lt;&gt;"",N14&lt;&gt;"",N15&lt;&gt;"",N16&lt;&gt;"",O9&lt;&gt;"",O10&lt;&gt;"",O11&lt;&gt;"",O12&lt;&gt;"",O13&lt;&gt;"",O14&lt;&gt;"",O15&lt;&gt;"",O16&lt;&gt;""),"Problème unités?","")</f>
        <v/>
      </c>
      <c r="L19" s="29"/>
    </row>
    <row r="20" spans="1:12" ht="11.25" customHeight="1" x14ac:dyDescent="0.2"/>
    <row r="40" ht="7.5" customHeight="1" x14ac:dyDescent="0.2"/>
  </sheetData>
  <sheetProtection algorithmName="SHA-512" hashValue="2RL8oPKpl7j701ikDNoPPYDiWo+ttUIssk0bnJ++gPXw1E6PPSg2N6HXWquN/RCheUTjkaZdvwz0dGiEFBV3zQ==" saltValue="Q9J3XDAauZgYVQMM0Ms2bQ==" spinCount="100000" sheet="1" objects="1" scenarios="1"/>
  <protectedRanges>
    <protectedRange sqref="L5" name="Plage1"/>
  </protectedRanges>
  <mergeCells count="18">
    <mergeCell ref="A7:F7"/>
    <mergeCell ref="G7:L7"/>
    <mergeCell ref="F9:F10"/>
    <mergeCell ref="L9:L10"/>
    <mergeCell ref="F11:F16"/>
    <mergeCell ref="L11:L16"/>
    <mergeCell ref="A1:C1"/>
    <mergeCell ref="D1:L1"/>
    <mergeCell ref="B3:F3"/>
    <mergeCell ref="B4:F4"/>
    <mergeCell ref="D5:F5"/>
    <mergeCell ref="K18:L18"/>
    <mergeCell ref="A18:B18"/>
    <mergeCell ref="D18:E19"/>
    <mergeCell ref="F18:F19"/>
    <mergeCell ref="G18:H18"/>
    <mergeCell ref="A19:B19"/>
    <mergeCell ref="G19:H19"/>
  </mergeCells>
  <conditionalFormatting sqref="K18:L18">
    <cfRule type="cellIs" dxfId="3" priority="1" operator="equal">
      <formula>"CONFORME"</formula>
    </cfRule>
    <cfRule type="cellIs" dxfId="2" priority="2" operator="equal">
      <formula>"NON CONFORME"</formula>
    </cfRule>
  </conditionalFormatting>
  <pageMargins left="0.11811023622047245" right="0.11811023622047245" top="0.19685039370078741" bottom="0" header="0.19685039370078741" footer="0"/>
  <pageSetup paperSize="9" orientation="landscape" r:id="rId1"/>
  <headerFooter>
    <oddHeader>&amp;RDOC-C-15  - V6</oddHead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1" id="{2A558CA4-AD6A-437F-AC0D-9D050030E8AA}">
            <x14:iconSet iconSet="3Symbols" custom="1">
              <x14:cfvo type="percent">
                <xm:f>0</xm:f>
              </x14:cfvo>
              <x14:cfvo type="num">
                <xm:f>'Zone PL 1'!$K$9</xm:f>
              </x14:cfvo>
              <x14:cfvo type="num">
                <xm:f>'Zone PL 1'!$K$9</xm:f>
              </x14:cfvo>
              <x14:cfIcon iconSet="3Symbols" iconId="2"/>
              <x14:cfIcon iconSet="3Symbols" iconId="1"/>
              <x14:cfIcon iconSet="3Symbols" iconId="0"/>
            </x14:iconSet>
          </x14:cfRule>
          <xm:sqref>D9</xm:sqref>
        </x14:conditionalFormatting>
        <x14:conditionalFormatting xmlns:xm="http://schemas.microsoft.com/office/excel/2006/main">
          <x14:cfRule type="iconSet" priority="8" id="{E52D74B7-2C88-4CF3-97F1-817F8FEF48EE}">
            <x14:iconSet iconSet="3Symbols" reverse="1">
              <x14:cfvo type="percent">
                <xm:f>0</xm:f>
              </x14:cfvo>
              <x14:cfvo type="num">
                <xm:f>'Zone PL 1'!$K$10</xm:f>
              </x14:cfvo>
              <x14:cfvo type="num">
                <xm:f>'Zone PL 1'!$K$10</xm:f>
              </x14:cfvo>
            </x14:iconSet>
          </x14:cfRule>
          <xm:sqref>D10</xm:sqref>
        </x14:conditionalFormatting>
        <x14:conditionalFormatting xmlns:xm="http://schemas.microsoft.com/office/excel/2006/main">
          <x14:cfRule type="iconSet" priority="9" id="{D4A1F809-783E-4F6B-9BD9-4E84BF2011BB}">
            <x14:iconSet iconSet="3Symbols" reverse="1">
              <x14:cfvo type="percent">
                <xm:f>0</xm:f>
              </x14:cfvo>
              <x14:cfvo type="num">
                <xm:f>'Zone PL 1'!$K$11</xm:f>
              </x14:cfvo>
              <x14:cfvo type="num">
                <xm:f>'Zone PL 1'!$K$11</xm:f>
              </x14:cfvo>
            </x14:iconSet>
          </x14:cfRule>
          <xm:sqref>D11</xm:sqref>
        </x14:conditionalFormatting>
        <x14:conditionalFormatting xmlns:xm="http://schemas.microsoft.com/office/excel/2006/main">
          <x14:cfRule type="iconSet" priority="10" id="{4E1F3CDF-BE67-414A-9B96-F89CBF904D05}">
            <x14:iconSet iconSet="3Symbols" reverse="1">
              <x14:cfvo type="percent">
                <xm:f>0</xm:f>
              </x14:cfvo>
              <x14:cfvo type="num">
                <xm:f>'Zone PL 1'!$K$12</xm:f>
              </x14:cfvo>
              <x14:cfvo type="num">
                <xm:f>'Zone PL 1'!$K$12</xm:f>
              </x14:cfvo>
            </x14:iconSet>
          </x14:cfRule>
          <xm:sqref>D12</xm:sqref>
        </x14:conditionalFormatting>
        <x14:conditionalFormatting xmlns:xm="http://schemas.microsoft.com/office/excel/2006/main">
          <x14:cfRule type="iconSet" priority="11" id="{306BF531-F940-42EB-9A9D-D58180279E11}">
            <x14:iconSet iconSet="3Symbols" reverse="1">
              <x14:cfvo type="percent">
                <xm:f>0</xm:f>
              </x14:cfvo>
              <x14:cfvo type="num">
                <xm:f>'Zone PL 1'!$K$13</xm:f>
              </x14:cfvo>
              <x14:cfvo type="num">
                <xm:f>'Zone PL 1'!$K$13</xm:f>
              </x14:cfvo>
            </x14:iconSet>
          </x14:cfRule>
          <xm:sqref>D13</xm:sqref>
        </x14:conditionalFormatting>
        <x14:conditionalFormatting xmlns:xm="http://schemas.microsoft.com/office/excel/2006/main">
          <x14:cfRule type="iconSet" priority="12" id="{AC1A5DF3-8FDC-4966-8D59-0FB8D155270A}">
            <x14:iconSet iconSet="3Symbols" reverse="1">
              <x14:cfvo type="percent">
                <xm:f>0</xm:f>
              </x14:cfvo>
              <x14:cfvo type="num">
                <xm:f>'Zone PL 1'!$K$14</xm:f>
              </x14:cfvo>
              <x14:cfvo type="num">
                <xm:f>'Zone PL 1'!$K$14</xm:f>
              </x14:cfvo>
            </x14:iconSet>
          </x14:cfRule>
          <xm:sqref>D14</xm:sqref>
        </x14:conditionalFormatting>
        <x14:conditionalFormatting xmlns:xm="http://schemas.microsoft.com/office/excel/2006/main">
          <x14:cfRule type="iconSet" priority="13" id="{106BCC24-819D-46B6-9543-0B92E70ACDE2}">
            <x14:iconSet iconSet="3Symbols" reverse="1">
              <x14:cfvo type="percent">
                <xm:f>0</xm:f>
              </x14:cfvo>
              <x14:cfvo type="num">
                <xm:f>'Zone PL 1'!$K$15</xm:f>
              </x14:cfvo>
              <x14:cfvo type="num">
                <xm:f>'Zone PL 1'!$K$15</xm:f>
              </x14:cfvo>
            </x14:iconSet>
          </x14:cfRule>
          <xm:sqref>D15</xm:sqref>
        </x14:conditionalFormatting>
        <x14:conditionalFormatting xmlns:xm="http://schemas.microsoft.com/office/excel/2006/main">
          <x14:cfRule type="iconSet" priority="22" id="{8402AD48-CD0A-4779-9686-D25CFEB283A8}">
            <x14:iconSet iconSet="3Symbols" reverse="1">
              <x14:cfvo type="percent">
                <xm:f>0</xm:f>
              </x14:cfvo>
              <x14:cfvo type="num">
                <xm:f>'Zone PL 1'!$K$16</xm:f>
              </x14:cfvo>
              <x14:cfvo type="num">
                <xm:f>'Zone PL 1'!$K$16</xm:f>
              </x14:cfvo>
            </x14:iconSet>
          </x14:cfRule>
          <xm:sqref>D16:D17</xm:sqref>
        </x14:conditionalFormatting>
        <x14:conditionalFormatting xmlns:xm="http://schemas.microsoft.com/office/excel/2006/main">
          <x14:cfRule type="iconSet" priority="4" id="{01D2A54E-6467-447E-8305-7F6B29925C74}">
            <x14:iconSet iconSet="3Symbols" custom="1">
              <x14:cfvo type="percent">
                <xm:f>0</xm:f>
              </x14:cfvo>
              <x14:cfvo type="num">
                <xm:f>7</xm:f>
              </x14:cfvo>
              <x14:cfvo type="num" gte="0">
                <xm:f>7</xm:f>
              </x14:cfvo>
              <x14:cfIcon iconSet="3Symbols" iconId="2"/>
              <x14:cfIcon iconSet="3Symbols" iconId="2"/>
              <x14:cfIcon iconSet="3Symbols" iconId="0"/>
            </x14:iconSet>
          </x14:cfRule>
          <xm:sqref>F9</xm:sqref>
        </x14:conditionalFormatting>
        <x14:conditionalFormatting xmlns:xm="http://schemas.microsoft.com/office/excel/2006/main">
          <x14:cfRule type="iconSet" priority="5" id="{30892F75-16DB-4EDD-92C4-103D231F5339}">
            <x14:iconSet iconSet="3Symbols" custom="1">
              <x14:cfvo type="percent">
                <xm:f>0</xm:f>
              </x14:cfvo>
              <x14:cfvo type="num">
                <xm:f>12</xm:f>
              </x14:cfvo>
              <x14:cfvo type="num" gte="0">
                <xm:f>12</xm:f>
              </x14:cfvo>
              <x14:cfIcon iconSet="3Symbols" iconId="2"/>
              <x14:cfIcon iconSet="3Symbols" iconId="2"/>
              <x14:cfIcon iconSet="3Symbols" iconId="0"/>
            </x14:iconSet>
          </x14:cfRule>
          <xm:sqref>F11</xm:sqref>
        </x14:conditionalFormatting>
        <x14:conditionalFormatting xmlns:xm="http://schemas.microsoft.com/office/excel/2006/main">
          <x14:cfRule type="iconSet" priority="20" id="{256A5DC6-C5D6-4098-A78A-66DE589D64B1}">
            <x14:iconSet iconSet="3Symbols" custom="1">
              <x14:cfvo type="percent">
                <xm:f>0</xm:f>
              </x14:cfvo>
              <x14:cfvo type="num">
                <xm:f>'Zone PL 1'!$K$9</xm:f>
              </x14:cfvo>
              <x14:cfvo type="num">
                <xm:f>'Zone PL 1'!$K$9</xm:f>
              </x14:cfvo>
              <x14:cfIcon iconSet="3Symbols" iconId="2"/>
              <x14:cfIcon iconSet="3Symbols" iconId="1"/>
              <x14:cfIcon iconSet="3Symbols" iconId="0"/>
            </x14:iconSet>
          </x14:cfRule>
          <xm:sqref>J9</xm:sqref>
        </x14:conditionalFormatting>
        <x14:conditionalFormatting xmlns:xm="http://schemas.microsoft.com/office/excel/2006/main">
          <x14:cfRule type="iconSet" priority="14" id="{FEC0D30D-23C4-4F01-A23C-910884D5492E}">
            <x14:iconSet iconSet="3Symbols" reverse="1">
              <x14:cfvo type="percent">
                <xm:f>0</xm:f>
              </x14:cfvo>
              <x14:cfvo type="num">
                <xm:f>'Zone PL 1'!$K$10</xm:f>
              </x14:cfvo>
              <x14:cfvo type="num">
                <xm:f>'Zone PL 1'!$K$10</xm:f>
              </x14:cfvo>
            </x14:iconSet>
          </x14:cfRule>
          <xm:sqref>J10</xm:sqref>
        </x14:conditionalFormatting>
        <x14:conditionalFormatting xmlns:xm="http://schemas.microsoft.com/office/excel/2006/main">
          <x14:cfRule type="iconSet" priority="15" id="{59BCD842-3A9E-4399-9F3F-CBB8321E1C4B}">
            <x14:iconSet iconSet="3Symbols" reverse="1">
              <x14:cfvo type="percent">
                <xm:f>0</xm:f>
              </x14:cfvo>
              <x14:cfvo type="num">
                <xm:f>'Zone PL 1'!$K$11</xm:f>
              </x14:cfvo>
              <x14:cfvo type="num">
                <xm:f>'Zone PL 1'!$K$11</xm:f>
              </x14:cfvo>
            </x14:iconSet>
          </x14:cfRule>
          <xm:sqref>J11</xm:sqref>
        </x14:conditionalFormatting>
        <x14:conditionalFormatting xmlns:xm="http://schemas.microsoft.com/office/excel/2006/main">
          <x14:cfRule type="iconSet" priority="16" id="{A878026D-A201-4F2F-A294-24739C19F651}">
            <x14:iconSet iconSet="3Symbols" reverse="1">
              <x14:cfvo type="percent">
                <xm:f>0</xm:f>
              </x14:cfvo>
              <x14:cfvo type="num">
                <xm:f>'Zone PL 1'!$K$12</xm:f>
              </x14:cfvo>
              <x14:cfvo type="num">
                <xm:f>'Zone PL 1'!$K$12</xm:f>
              </x14:cfvo>
            </x14:iconSet>
          </x14:cfRule>
          <xm:sqref>J12</xm:sqref>
        </x14:conditionalFormatting>
        <x14:conditionalFormatting xmlns:xm="http://schemas.microsoft.com/office/excel/2006/main">
          <x14:cfRule type="iconSet" priority="17" id="{8DC48356-4B37-46DB-9BB6-E3D8B3431F5E}">
            <x14:iconSet iconSet="3Symbols" reverse="1">
              <x14:cfvo type="percent">
                <xm:f>0</xm:f>
              </x14:cfvo>
              <x14:cfvo type="num">
                <xm:f>'Zone PL 1'!$K$13</xm:f>
              </x14:cfvo>
              <x14:cfvo type="num">
                <xm:f>'Zone PL 1'!$K$13</xm:f>
              </x14:cfvo>
            </x14:iconSet>
          </x14:cfRule>
          <xm:sqref>J13</xm:sqref>
        </x14:conditionalFormatting>
        <x14:conditionalFormatting xmlns:xm="http://schemas.microsoft.com/office/excel/2006/main">
          <x14:cfRule type="iconSet" priority="18" id="{03A980FD-C3DD-4BF3-98C3-2659A07DC109}">
            <x14:iconSet iconSet="3Symbols" reverse="1">
              <x14:cfvo type="percent">
                <xm:f>0</xm:f>
              </x14:cfvo>
              <x14:cfvo type="num">
                <xm:f>'Zone PL 1'!$K$14</xm:f>
              </x14:cfvo>
              <x14:cfvo type="num">
                <xm:f>'Zone PL 1'!$K$14</xm:f>
              </x14:cfvo>
            </x14:iconSet>
          </x14:cfRule>
          <xm:sqref>J14</xm:sqref>
        </x14:conditionalFormatting>
        <x14:conditionalFormatting xmlns:xm="http://schemas.microsoft.com/office/excel/2006/main">
          <x14:cfRule type="iconSet" priority="19" id="{6EAFB1CF-419A-4A04-AB1E-1DC2A2C151A4}">
            <x14:iconSet iconSet="3Symbols" reverse="1">
              <x14:cfvo type="percent">
                <xm:f>0</xm:f>
              </x14:cfvo>
              <x14:cfvo type="num">
                <xm:f>'Zone PL 1'!$K$15</xm:f>
              </x14:cfvo>
              <x14:cfvo type="num">
                <xm:f>'Zone PL 1'!$K$15</xm:f>
              </x14:cfvo>
            </x14:iconSet>
          </x14:cfRule>
          <xm:sqref>J15</xm:sqref>
        </x14:conditionalFormatting>
        <x14:conditionalFormatting xmlns:xm="http://schemas.microsoft.com/office/excel/2006/main">
          <x14:cfRule type="iconSet" priority="23" id="{967711CF-E08F-479E-A9EA-087B81931EA2}">
            <x14:iconSet iconSet="3Symbols" reverse="1">
              <x14:cfvo type="percent">
                <xm:f>0</xm:f>
              </x14:cfvo>
              <x14:cfvo type="num">
                <xm:f>'Zone PL 1'!$K$16</xm:f>
              </x14:cfvo>
              <x14:cfvo type="num">
                <xm:f>'Zone PL 1'!$K$16</xm:f>
              </x14:cfvo>
            </x14:iconSet>
          </x14:cfRule>
          <xm:sqref>J16:J17</xm:sqref>
        </x14:conditionalFormatting>
        <x14:conditionalFormatting xmlns:xm="http://schemas.microsoft.com/office/excel/2006/main">
          <x14:cfRule type="iconSet" priority="7" id="{FE59B985-E80C-4DB4-AFB3-8ADC375C8B28}">
            <x14:iconSet iconSet="3Symbols" custom="1">
              <x14:cfvo type="percent">
                <xm:f>0</xm:f>
              </x14:cfvo>
              <x14:cfvo type="num">
                <xm:f>7</xm:f>
              </x14:cfvo>
              <x14:cfvo type="num" gte="0">
                <xm:f>7</xm:f>
              </x14:cfvo>
              <x14:cfIcon iconSet="3Symbols" iconId="2"/>
              <x14:cfIcon iconSet="3Symbols" iconId="2"/>
              <x14:cfIcon iconSet="3Symbols" iconId="0"/>
            </x14:iconSet>
          </x14:cfRule>
          <xm:sqref>L9</xm:sqref>
        </x14:conditionalFormatting>
        <x14:conditionalFormatting xmlns:xm="http://schemas.microsoft.com/office/excel/2006/main">
          <x14:cfRule type="iconSet" priority="6" id="{6D839B68-27D7-420C-8E6E-219B07597DC3}">
            <x14:iconSet iconSet="3Symbols" custom="1">
              <x14:cfvo type="percent">
                <xm:f>0</xm:f>
              </x14:cfvo>
              <x14:cfvo type="num">
                <xm:f>12</xm:f>
              </x14:cfvo>
              <x14:cfvo type="num" gte="0">
                <xm:f>12</xm:f>
              </x14:cfvo>
              <x14:cfIcon iconSet="3Symbols" iconId="2"/>
              <x14:cfIcon iconSet="3Symbols" iconId="2"/>
              <x14:cfIcon iconSet="3Symbols" iconId="0"/>
            </x14:iconSet>
          </x14:cfRule>
          <xm:sqref>L11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euil7"/>
  <dimension ref="A1:L13"/>
  <sheetViews>
    <sheetView zoomScaleNormal="100" workbookViewId="0">
      <selection activeCell="B3" sqref="B3:F3"/>
    </sheetView>
  </sheetViews>
  <sheetFormatPr baseColWidth="10" defaultColWidth="11.42578125" defaultRowHeight="15" x14ac:dyDescent="0.25"/>
  <cols>
    <col min="1" max="1" width="14.7109375" customWidth="1"/>
    <col min="2" max="2" width="9.42578125" customWidth="1"/>
    <col min="3" max="3" width="11.28515625" customWidth="1"/>
    <col min="4" max="4" width="15" customWidth="1"/>
    <col min="5" max="5" width="1.7109375" customWidth="1"/>
    <col min="6" max="7" width="11.7109375" customWidth="1"/>
    <col min="8" max="8" width="9.85546875" customWidth="1"/>
    <col min="9" max="10" width="11.7109375" customWidth="1"/>
    <col min="11" max="11" width="9.140625" customWidth="1"/>
    <col min="12" max="12" width="11.42578125" bestFit="1" customWidth="1"/>
  </cols>
  <sheetData>
    <row r="1" spans="1:12" ht="39" customHeight="1" x14ac:dyDescent="0.25">
      <c r="A1" s="85"/>
      <c r="B1" s="86"/>
      <c r="C1" s="87"/>
      <c r="D1" s="140" t="s">
        <v>77</v>
      </c>
      <c r="E1" s="140"/>
      <c r="F1" s="140"/>
      <c r="G1" s="140"/>
      <c r="H1" s="140"/>
      <c r="I1" s="140"/>
      <c r="J1" s="140"/>
      <c r="K1" s="140"/>
      <c r="L1" s="140"/>
    </row>
    <row r="3" spans="1:12" ht="15" customHeight="1" x14ac:dyDescent="0.25">
      <c r="A3" s="12" t="s">
        <v>1</v>
      </c>
      <c r="B3" s="109">
        <f>'Zone PL 1'!B3</f>
        <v>0</v>
      </c>
      <c r="C3" s="109"/>
      <c r="D3" s="109"/>
      <c r="E3" s="109"/>
      <c r="F3" s="109"/>
      <c r="G3" s="36" t="s">
        <v>4</v>
      </c>
      <c r="H3" s="12">
        <f>'Zone PL 1'!K4</f>
        <v>0</v>
      </c>
      <c r="I3" s="8"/>
      <c r="J3" s="9"/>
      <c r="K3" s="8"/>
      <c r="L3" s="8"/>
    </row>
    <row r="4" spans="1:12" ht="15" customHeight="1" x14ac:dyDescent="0.25">
      <c r="A4" s="12" t="s">
        <v>3</v>
      </c>
      <c r="B4" s="109">
        <f>'Zone PL 1'!B4</f>
        <v>0</v>
      </c>
      <c r="C4" s="109"/>
      <c r="D4" s="109"/>
      <c r="E4" s="109"/>
      <c r="F4" s="109"/>
      <c r="G4" s="14"/>
      <c r="H4" s="8"/>
      <c r="I4" s="8"/>
      <c r="J4" s="8"/>
      <c r="K4" s="8"/>
      <c r="L4" s="8"/>
    </row>
    <row r="5" spans="1:12" ht="15" customHeight="1" x14ac:dyDescent="0.25">
      <c r="A5" s="12" t="s">
        <v>5</v>
      </c>
      <c r="B5" s="12">
        <f>'Zone PL 1'!B5</f>
        <v>0</v>
      </c>
      <c r="C5" s="12" t="s">
        <v>6</v>
      </c>
      <c r="D5" s="110">
        <f>'Zone PL 1'!D5</f>
        <v>0</v>
      </c>
      <c r="E5" s="110"/>
      <c r="F5" s="110"/>
      <c r="G5" s="14"/>
      <c r="H5" s="8"/>
      <c r="I5" s="8"/>
      <c r="J5" s="8"/>
      <c r="K5" s="8"/>
      <c r="L5" s="8"/>
    </row>
    <row r="6" spans="1:12" x14ac:dyDescent="0.25">
      <c r="A6" s="13"/>
      <c r="B6" s="13"/>
      <c r="C6" s="13"/>
      <c r="D6" s="13"/>
      <c r="E6" s="13"/>
      <c r="F6" s="13"/>
      <c r="G6" s="13"/>
    </row>
    <row r="7" spans="1:12" x14ac:dyDescent="0.25">
      <c r="A7" s="104" t="s">
        <v>66</v>
      </c>
      <c r="B7" s="105"/>
      <c r="C7" s="106"/>
      <c r="D7" s="63" t="e">
        <f>'Zone PL 1'!F18</f>
        <v>#DIV/0!</v>
      </c>
      <c r="E7" s="36"/>
      <c r="F7" s="61"/>
      <c r="G7" s="13"/>
    </row>
    <row r="8" spans="1:12" x14ac:dyDescent="0.25">
      <c r="A8" s="104" t="s">
        <v>67</v>
      </c>
      <c r="B8" s="105"/>
      <c r="C8" s="106"/>
      <c r="D8" s="63" t="e">
        <f>'Zone PL 2'!F18</f>
        <v>#DIV/0!</v>
      </c>
      <c r="E8" s="36"/>
      <c r="F8" s="36"/>
      <c r="G8" s="13"/>
    </row>
    <row r="9" spans="1:12" x14ac:dyDescent="0.25">
      <c r="A9" s="36"/>
      <c r="B9" s="36"/>
      <c r="C9" s="36"/>
      <c r="D9" s="29"/>
      <c r="E9" s="36"/>
      <c r="F9" s="36"/>
      <c r="G9" s="13"/>
    </row>
    <row r="10" spans="1:12" x14ac:dyDescent="0.25">
      <c r="A10" s="139" t="s">
        <v>78</v>
      </c>
      <c r="B10" s="139"/>
      <c r="C10" s="139"/>
      <c r="D10" s="52" t="e">
        <f>AVERAGE(D7,D8)</f>
        <v>#DIV/0!</v>
      </c>
      <c r="E10" s="36"/>
      <c r="F10" s="36"/>
      <c r="G10" s="13"/>
    </row>
    <row r="11" spans="1:12" x14ac:dyDescent="0.25">
      <c r="A11" s="36"/>
      <c r="B11" s="36"/>
      <c r="C11" s="36"/>
      <c r="D11" s="29"/>
      <c r="E11" s="36"/>
      <c r="F11" s="36"/>
      <c r="G11" s="13"/>
    </row>
    <row r="12" spans="1:12" x14ac:dyDescent="0.25">
      <c r="A12" s="107" t="s">
        <v>69</v>
      </c>
      <c r="B12" s="107"/>
      <c r="C12" s="107"/>
      <c r="D12" s="52" t="e">
        <f>D7-D8</f>
        <v>#DIV/0!</v>
      </c>
      <c r="E12" s="36"/>
      <c r="F12" s="36" t="s">
        <v>32</v>
      </c>
      <c r="G12" s="13"/>
    </row>
    <row r="13" spans="1:12" x14ac:dyDescent="0.25">
      <c r="A13" s="107" t="s">
        <v>33</v>
      </c>
      <c r="B13" s="107"/>
      <c r="C13" s="107"/>
      <c r="D13" s="53" t="e">
        <f>IF(AND(ROUND(D12,4)&lt;=0.1%,ROUND(D12,4)&gt;=-0.1%),"Conforme","Non conforme")</f>
        <v>#DIV/0!</v>
      </c>
      <c r="E13" s="36"/>
      <c r="F13" s="36"/>
      <c r="G13" s="13"/>
    </row>
  </sheetData>
  <sheetProtection algorithmName="SHA-512" hashValue="FurM4EouqOkiLt8abPyADnqCCLSC6qOu0aVvJ/vNJT1OWmr5aOY7whaBblbFhasNQiNDKidG6ZJw3yekb5Yfkw==" saltValue="TjImOhtQUrMKloMtSoU3qQ==" spinCount="100000" sheet="1" objects="1" scenarios="1"/>
  <mergeCells count="10">
    <mergeCell ref="A8:C8"/>
    <mergeCell ref="A12:C12"/>
    <mergeCell ref="A13:C13"/>
    <mergeCell ref="A1:C1"/>
    <mergeCell ref="B3:F3"/>
    <mergeCell ref="B4:F4"/>
    <mergeCell ref="D5:F5"/>
    <mergeCell ref="A7:C7"/>
    <mergeCell ref="A10:C10"/>
    <mergeCell ref="D1:L1"/>
  </mergeCells>
  <conditionalFormatting sqref="D13">
    <cfRule type="cellIs" dxfId="1" priority="1" operator="equal">
      <formula>"Non conforme"</formula>
    </cfRule>
    <cfRule type="cellIs" dxfId="0" priority="2" operator="equal">
      <formula>"Conforme"</formula>
    </cfRule>
  </conditionalFormatting>
  <pageMargins left="0.11811023622047245" right="0.11811023622047245" top="0.19685039370078741" bottom="0.15748031496062992" header="0.19685039370078741" footer="0.11811023622047245"/>
  <pageSetup paperSize="9" orientation="landscape" r:id="rId1"/>
  <headerFooter>
    <oddHeader>&amp;RDOC-C-15  - V6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DEBC75F865A34EB958015299C85187" ma:contentTypeVersion="13" ma:contentTypeDescription="Create a new document." ma:contentTypeScope="" ma:versionID="5335d58c49001cba8342b6af5c7288f0">
  <xsd:schema xmlns:xsd="http://www.w3.org/2001/XMLSchema" xmlns:xs="http://www.w3.org/2001/XMLSchema" xmlns:p="http://schemas.microsoft.com/office/2006/metadata/properties" xmlns:ns2="f77b9e96-4b84-4412-9fb0-7148f2718351" xmlns:ns3="91ced7d9-800f-455c-bc73-b6f21715af6b" targetNamespace="http://schemas.microsoft.com/office/2006/metadata/properties" ma:root="true" ma:fieldsID="3f4bda06044000bf2d9bddd700a1e030" ns2:_="" ns3:_="">
    <xsd:import namespace="f77b9e96-4b84-4412-9fb0-7148f2718351"/>
    <xsd:import namespace="91ced7d9-800f-455c-bc73-b6f21715af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7b9e96-4b84-4412-9fb0-7148f27183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4bcb7a3c-45b5-49fc-abfd-3ccbf89625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ced7d9-800f-455c-bc73-b6f21715af6b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591cbb21-4451-4bb4-88f1-8f4655031e77}" ma:internalName="TaxCatchAll" ma:showField="CatchAllData" ma:web="91ced7d9-800f-455c-bc73-b6f21715af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77b9e96-4b84-4412-9fb0-7148f2718351">
      <Terms xmlns="http://schemas.microsoft.com/office/infopath/2007/PartnerControls"/>
    </lcf76f155ced4ddcb4097134ff3c332f>
    <TaxCatchAll xmlns="91ced7d9-800f-455c-bc73-b6f21715af6b" xsi:nil="true"/>
  </documentManagement>
</p:properties>
</file>

<file path=customXml/itemProps1.xml><?xml version="1.0" encoding="utf-8"?>
<ds:datastoreItem xmlns:ds="http://schemas.openxmlformats.org/officeDocument/2006/customXml" ds:itemID="{22FACA84-1EA4-47FD-A7FA-2611F4B7CAF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385784A-6A25-4EB1-B000-DBDB62E8DC43}"/>
</file>

<file path=customXml/itemProps3.xml><?xml version="1.0" encoding="utf-8"?>
<ds:datastoreItem xmlns:ds="http://schemas.openxmlformats.org/officeDocument/2006/customXml" ds:itemID="{A5501C7E-7DA9-42AE-A410-F6E8559CB111}">
  <ds:schemaRefs>
    <ds:schemaRef ds:uri="http://schemas.microsoft.com/office/2006/metadata/properties"/>
    <ds:schemaRef ds:uri="http://schemas.microsoft.com/office/infopath/2007/PartnerControls"/>
    <ds:schemaRef ds:uri="f77b9e96-4b84-4412-9fb0-7148f2718351"/>
    <ds:schemaRef ds:uri="91ced7d9-800f-455c-bc73-b6f21715af6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Zone RPH 1</vt:lpstr>
      <vt:lpstr>Zone RPH 2</vt:lpstr>
      <vt:lpstr>Validation RPH bi-piste</vt:lpstr>
      <vt:lpstr>Zone VL 1</vt:lpstr>
      <vt:lpstr>Zone VL 2</vt:lpstr>
      <vt:lpstr>Validation zone VL bi-piste</vt:lpstr>
      <vt:lpstr>Zone PL 1</vt:lpstr>
      <vt:lpstr>Zone PL 2</vt:lpstr>
      <vt:lpstr>Validation zone PL bi-piste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2026-01-21T10:07:36Z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0x010100CBDEBC75F865A34EB958015299C85187</vt:lpwstr>
  </property>
  <property fmtid="{D5CDD505-2E9C-101B-9397-08002B2CF9AE}" pid="3" name="MediaServiceImageTags">
    <vt:lpwstr/>
  </property>
</Properties>
</file>